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T1" sheetId="62" r:id="rId1"/>
    <sheet name="T2" sheetId="63" r:id="rId2"/>
  </sheets>
  <calcPr calcId="145621"/>
</workbook>
</file>

<file path=xl/calcChain.xml><?xml version="1.0" encoding="utf-8"?>
<calcChain xmlns="http://schemas.openxmlformats.org/spreadsheetml/2006/main">
  <c r="I41" i="63" l="1"/>
  <c r="I42" i="63" s="1"/>
  <c r="I43" i="63" s="1"/>
  <c r="I44" i="63" s="1"/>
  <c r="I45" i="63" s="1"/>
  <c r="I46" i="63" s="1"/>
  <c r="I47" i="63" s="1"/>
  <c r="I48" i="63" s="1"/>
  <c r="I49" i="63" s="1"/>
  <c r="I50" i="63" s="1"/>
  <c r="I51" i="63" s="1"/>
  <c r="I52" i="63" s="1"/>
  <c r="I53" i="63" s="1"/>
  <c r="I54" i="63" s="1"/>
  <c r="I55" i="63" s="1"/>
  <c r="I56" i="63" s="1"/>
  <c r="I57" i="63" s="1"/>
  <c r="I40" i="63"/>
  <c r="H40" i="63"/>
  <c r="H41" i="63" s="1"/>
  <c r="I21" i="63"/>
  <c r="I22" i="63" s="1"/>
  <c r="I23" i="63" s="1"/>
  <c r="I24" i="63" s="1"/>
  <c r="I25" i="63" s="1"/>
  <c r="I26" i="63" s="1"/>
  <c r="I27" i="63" s="1"/>
  <c r="I28" i="63" s="1"/>
  <c r="I29" i="63" s="1"/>
  <c r="I30" i="63" s="1"/>
  <c r="I31" i="63" s="1"/>
  <c r="I32" i="63" s="1"/>
  <c r="I33" i="63" s="1"/>
  <c r="I34" i="63" s="1"/>
  <c r="I35" i="63" s="1"/>
  <c r="I36" i="63" s="1"/>
  <c r="I37" i="63" s="1"/>
  <c r="I38" i="63" s="1"/>
  <c r="I39" i="63" s="1"/>
  <c r="H21" i="63"/>
  <c r="H22" i="63" s="1"/>
  <c r="I2" i="63"/>
  <c r="I3" i="63" s="1"/>
  <c r="I4" i="63" s="1"/>
  <c r="I5" i="63" s="1"/>
  <c r="I6" i="63" s="1"/>
  <c r="I7" i="63" s="1"/>
  <c r="I8" i="63" s="1"/>
  <c r="I9" i="63" s="1"/>
  <c r="I10" i="63" s="1"/>
  <c r="I11" i="63" s="1"/>
  <c r="H2" i="63"/>
  <c r="H3" i="63" s="1"/>
  <c r="I40" i="62"/>
  <c r="I21" i="62"/>
  <c r="I2" i="62"/>
  <c r="H23" i="63" l="1"/>
  <c r="G22" i="63"/>
  <c r="G3" i="63"/>
  <c r="H4" i="63"/>
  <c r="I13" i="63"/>
  <c r="I14" i="63" s="1"/>
  <c r="I15" i="63" s="1"/>
  <c r="I16" i="63" s="1"/>
  <c r="I17" i="63" s="1"/>
  <c r="I18" i="63" s="1"/>
  <c r="I19" i="63" s="1"/>
  <c r="I20" i="63" s="1"/>
  <c r="I12" i="63"/>
  <c r="H42" i="63"/>
  <c r="G41" i="63"/>
  <c r="G2" i="63"/>
  <c r="G21" i="63"/>
  <c r="G40" i="63"/>
  <c r="H43" i="63" l="1"/>
  <c r="G42" i="63"/>
  <c r="H24" i="63"/>
  <c r="G23" i="63"/>
  <c r="G4" i="63"/>
  <c r="H5" i="63"/>
  <c r="H25" i="63" l="1"/>
  <c r="G24" i="63"/>
  <c r="H6" i="63"/>
  <c r="G5" i="63"/>
  <c r="H44" i="63"/>
  <c r="G43" i="63"/>
  <c r="H7" i="63" l="1"/>
  <c r="G6" i="63"/>
  <c r="H45" i="63"/>
  <c r="G44" i="63"/>
  <c r="H26" i="63"/>
  <c r="G25" i="63"/>
  <c r="H46" i="63" l="1"/>
  <c r="G45" i="63"/>
  <c r="H27" i="63"/>
  <c r="G26" i="63"/>
  <c r="H8" i="63"/>
  <c r="G7" i="63"/>
  <c r="H28" i="63" l="1"/>
  <c r="G27" i="63"/>
  <c r="H9" i="63"/>
  <c r="G8" i="63"/>
  <c r="H47" i="63"/>
  <c r="G46" i="63"/>
  <c r="H48" i="63" l="1"/>
  <c r="G47" i="63"/>
  <c r="H10" i="63"/>
  <c r="G9" i="63"/>
  <c r="H29" i="63"/>
  <c r="G28" i="63"/>
  <c r="H11" i="63" l="1"/>
  <c r="G10" i="63"/>
  <c r="H30" i="63"/>
  <c r="G29" i="63"/>
  <c r="H49" i="63"/>
  <c r="G48" i="63"/>
  <c r="H31" i="63" l="1"/>
  <c r="G30" i="63"/>
  <c r="H50" i="63"/>
  <c r="G49" i="63"/>
  <c r="H12" i="63"/>
  <c r="G12" i="63" s="1"/>
  <c r="G11" i="63"/>
  <c r="H13" i="63"/>
  <c r="H14" i="63" l="1"/>
  <c r="G13" i="63"/>
  <c r="H51" i="63"/>
  <c r="G50" i="63"/>
  <c r="H32" i="63"/>
  <c r="G31" i="63"/>
  <c r="H33" i="63" l="1"/>
  <c r="G32" i="63"/>
  <c r="H52" i="63"/>
  <c r="G51" i="63"/>
  <c r="H15" i="63"/>
  <c r="G14" i="63"/>
  <c r="H16" i="63" l="1"/>
  <c r="G15" i="63"/>
  <c r="H53" i="63"/>
  <c r="G52" i="63"/>
  <c r="H34" i="63"/>
  <c r="G33" i="63"/>
  <c r="H54" i="63" l="1"/>
  <c r="G53" i="63"/>
  <c r="H35" i="63"/>
  <c r="G34" i="63"/>
  <c r="H17" i="63"/>
  <c r="G16" i="63"/>
  <c r="H36" i="63" l="1"/>
  <c r="G35" i="63"/>
  <c r="H18" i="63"/>
  <c r="G17" i="63"/>
  <c r="H55" i="63"/>
  <c r="G54" i="63"/>
  <c r="H19" i="63" l="1"/>
  <c r="G18" i="63"/>
  <c r="H56" i="63"/>
  <c r="G55" i="63"/>
  <c r="H37" i="63"/>
  <c r="G36" i="63"/>
  <c r="H57" i="63" l="1"/>
  <c r="G57" i="63" s="1"/>
  <c r="G56" i="63"/>
  <c r="H38" i="63"/>
  <c r="G37" i="63"/>
  <c r="H20" i="63"/>
  <c r="G20" i="63" s="1"/>
  <c r="G19" i="63"/>
  <c r="H39" i="63" l="1"/>
  <c r="G39" i="63" s="1"/>
  <c r="G38" i="63"/>
  <c r="H40" i="62" l="1"/>
  <c r="H21" i="62"/>
  <c r="H2" i="62"/>
  <c r="I3" i="62"/>
  <c r="I4" i="62" s="1"/>
  <c r="I5" i="62" s="1"/>
  <c r="I6" i="62" s="1"/>
  <c r="I7" i="62" s="1"/>
  <c r="I8" i="62" s="1"/>
  <c r="I9" i="62" s="1"/>
  <c r="I10" i="62" s="1"/>
  <c r="I11" i="62" s="1"/>
  <c r="I12" i="62" l="1"/>
  <c r="I13" i="62"/>
  <c r="I14" i="62" s="1"/>
  <c r="I15" i="62" s="1"/>
  <c r="I16" i="62" s="1"/>
  <c r="I17" i="62" s="1"/>
  <c r="I18" i="62" s="1"/>
  <c r="I19" i="62" s="1"/>
  <c r="I20" i="62" s="1"/>
  <c r="I22" i="62" s="1"/>
  <c r="I23" i="62" s="1"/>
  <c r="I24" i="62" s="1"/>
  <c r="I25" i="62" s="1"/>
  <c r="I26" i="62" s="1"/>
  <c r="I27" i="62" s="1"/>
  <c r="I28" i="62" s="1"/>
  <c r="I29" i="62" s="1"/>
  <c r="I30" i="62" s="1"/>
  <c r="I31" i="62" s="1"/>
  <c r="I32" i="62" s="1"/>
  <c r="I33" i="62" s="1"/>
  <c r="I34" i="62" s="1"/>
  <c r="I35" i="62" s="1"/>
  <c r="I36" i="62" s="1"/>
  <c r="I37" i="62" s="1"/>
  <c r="I38" i="62" s="1"/>
  <c r="I39" i="62" s="1"/>
  <c r="I41" i="62" s="1"/>
  <c r="I42" i="62" s="1"/>
  <c r="I43" i="62" s="1"/>
  <c r="I44" i="62" s="1"/>
  <c r="I45" i="62" s="1"/>
  <c r="I46" i="62" s="1"/>
  <c r="I47" i="62" s="1"/>
  <c r="I48" i="62" s="1"/>
  <c r="I49" i="62" s="1"/>
  <c r="I50" i="62" s="1"/>
  <c r="I51" i="62" s="1"/>
  <c r="I52" i="62" s="1"/>
  <c r="I53" i="62" s="1"/>
  <c r="I54" i="62" s="1"/>
  <c r="I55" i="62" s="1"/>
  <c r="I56" i="62" s="1"/>
  <c r="I57" i="62" s="1"/>
  <c r="H3" i="62"/>
  <c r="G2" i="62"/>
  <c r="H4" i="62" l="1"/>
  <c r="G3" i="62"/>
  <c r="G4" i="62" l="1"/>
  <c r="H5" i="62"/>
  <c r="H6" i="62" l="1"/>
  <c r="G5" i="62"/>
  <c r="H7" i="62" l="1"/>
  <c r="G6" i="62"/>
  <c r="H8" i="62" l="1"/>
  <c r="G7" i="62"/>
  <c r="H9" i="62" l="1"/>
  <c r="G8" i="62"/>
  <c r="G9" i="62" l="1"/>
  <c r="H10" i="62"/>
  <c r="H11" i="62" l="1"/>
  <c r="G10" i="62"/>
  <c r="H12" i="62" l="1"/>
  <c r="G12" i="62" s="1"/>
  <c r="G11" i="62"/>
  <c r="H13" i="62"/>
  <c r="H14" i="62" l="1"/>
  <c r="G13" i="62"/>
  <c r="H15" i="62" l="1"/>
  <c r="G14" i="62"/>
  <c r="H16" i="62" l="1"/>
  <c r="G15" i="62"/>
  <c r="H17" i="62" l="1"/>
  <c r="G16" i="62"/>
  <c r="G17" i="62" l="1"/>
  <c r="H18" i="62"/>
  <c r="H19" i="62" l="1"/>
  <c r="G18" i="62"/>
  <c r="H20" i="62" l="1"/>
  <c r="G19" i="62"/>
  <c r="G20" i="62" l="1"/>
  <c r="H22" i="62" l="1"/>
  <c r="G21" i="62"/>
  <c r="H23" i="62" l="1"/>
  <c r="G22" i="62"/>
  <c r="H24" i="62" l="1"/>
  <c r="G23" i="62"/>
  <c r="H25" i="62" l="1"/>
  <c r="G24" i="62"/>
  <c r="G25" i="62" l="1"/>
  <c r="H26" i="62"/>
  <c r="H27" i="62" l="1"/>
  <c r="G26" i="62"/>
  <c r="H28" i="62" l="1"/>
  <c r="G27" i="62"/>
  <c r="G28" i="62" l="1"/>
  <c r="H29" i="62"/>
  <c r="H30" i="62" l="1"/>
  <c r="G29" i="62"/>
  <c r="H31" i="62" l="1"/>
  <c r="G30" i="62"/>
  <c r="H32" i="62" l="1"/>
  <c r="G31" i="62"/>
  <c r="H33" i="62" l="1"/>
  <c r="G32" i="62"/>
  <c r="G33" i="62" l="1"/>
  <c r="H34" i="62"/>
  <c r="H35" i="62" l="1"/>
  <c r="G34" i="62"/>
  <c r="H36" i="62" l="1"/>
  <c r="G35" i="62"/>
  <c r="G36" i="62" l="1"/>
  <c r="H37" i="62"/>
  <c r="H38" i="62" l="1"/>
  <c r="G37" i="62"/>
  <c r="H39" i="62" l="1"/>
  <c r="G38" i="62"/>
  <c r="G39" i="62" l="1"/>
  <c r="H41" i="62" l="1"/>
  <c r="G40" i="62"/>
  <c r="G41" i="62" l="1"/>
  <c r="H42" i="62"/>
  <c r="H43" i="62" l="1"/>
  <c r="G42" i="62"/>
  <c r="H44" i="62" l="1"/>
  <c r="G43" i="62"/>
  <c r="G44" i="62" l="1"/>
  <c r="H45" i="62"/>
  <c r="H46" i="62" l="1"/>
  <c r="G45" i="62"/>
  <c r="H47" i="62" l="1"/>
  <c r="G46" i="62"/>
  <c r="H48" i="62" l="1"/>
  <c r="G47" i="62"/>
  <c r="H49" i="62" l="1"/>
  <c r="G48" i="62"/>
  <c r="G49" i="62" l="1"/>
  <c r="H50" i="62"/>
  <c r="H51" i="62" l="1"/>
  <c r="G50" i="62"/>
  <c r="H52" i="62" l="1"/>
  <c r="G51" i="62"/>
  <c r="G52" i="62" l="1"/>
  <c r="H53" i="62"/>
  <c r="H54" i="62" l="1"/>
  <c r="G53" i="62"/>
  <c r="H55" i="62" l="1"/>
  <c r="G54" i="62"/>
  <c r="H56" i="62" l="1"/>
  <c r="G55" i="62"/>
  <c r="H57" i="62" l="1"/>
  <c r="G57" i="62" s="1"/>
  <c r="G56" i="62"/>
</calcChain>
</file>

<file path=xl/sharedStrings.xml><?xml version="1.0" encoding="utf-8"?>
<sst xmlns="http://schemas.openxmlformats.org/spreadsheetml/2006/main" count="16" uniqueCount="10">
  <si>
    <t>Sujet</t>
  </si>
  <si>
    <t>Ecart-type</t>
  </si>
  <si>
    <t>MOY ACC</t>
  </si>
  <si>
    <t>Diff 1 ACC</t>
  </si>
  <si>
    <t>Diff 2 ACC</t>
  </si>
  <si>
    <t>Z-score</t>
  </si>
  <si>
    <t>Groupe</t>
  </si>
  <si>
    <t>MOYENNE</t>
  </si>
  <si>
    <t>Diff 1</t>
  </si>
  <si>
    <t>Diff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</si>
</sst>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9" fontId="1" fillId="2" borderId="0" xfId="1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urcentage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E2" sqref="E2"/>
    </sheetView>
  </sheetViews>
  <sheetFormatPr baseColWidth="10" defaultRowHeight="15" x14ac:dyDescent="0.25"/>
  <sheetData>
    <row r="1" spans="1:9" ht="15.75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G1" s="2" t="s">
        <v>5</v>
      </c>
      <c r="H1" s="4" t="s">
        <v>7</v>
      </c>
      <c r="I1" s="4" t="s">
        <v>1</v>
      </c>
    </row>
    <row r="2" spans="1:9" x14ac:dyDescent="0.25">
      <c r="A2" s="3">
        <v>102</v>
      </c>
      <c r="B2" s="3">
        <v>1</v>
      </c>
      <c r="C2" s="1">
        <v>0.58333333333333337</v>
      </c>
      <c r="D2" s="1">
        <v>0.66666666666666663</v>
      </c>
      <c r="E2" s="1">
        <v>0.5</v>
      </c>
      <c r="G2">
        <f>(C2-H2)/I2</f>
        <v>0.26222244603662981</v>
      </c>
      <c r="H2" s="8">
        <f>AVERAGE(C2:C20)</f>
        <v>0.54385964912280693</v>
      </c>
      <c r="I2" s="7">
        <f>STDEV(C2:C20)</f>
        <v>0.15053510790991695</v>
      </c>
    </row>
    <row r="3" spans="1:9" x14ac:dyDescent="0.25">
      <c r="A3" s="3">
        <v>105</v>
      </c>
      <c r="B3" s="3">
        <v>1</v>
      </c>
      <c r="C3" s="1">
        <v>0.58333333333333337</v>
      </c>
      <c r="D3" s="1">
        <v>0.66666666666666663</v>
      </c>
      <c r="E3" s="1">
        <v>0.5</v>
      </c>
      <c r="G3">
        <f>(C3-H3)/I3</f>
        <v>0.26222244603662981</v>
      </c>
      <c r="H3" s="5">
        <f>H2</f>
        <v>0.54385964912280693</v>
      </c>
      <c r="I3" s="6">
        <f>I2</f>
        <v>0.15053510790991695</v>
      </c>
    </row>
    <row r="4" spans="1:9" x14ac:dyDescent="0.25">
      <c r="A4" s="3">
        <v>110</v>
      </c>
      <c r="B4" s="3">
        <v>1</v>
      </c>
      <c r="C4" s="1">
        <v>0.58333333333333337</v>
      </c>
      <c r="D4" s="1">
        <v>0.66666666666666663</v>
      </c>
      <c r="E4" s="1">
        <v>0.5</v>
      </c>
      <c r="G4">
        <f>(C4-H4)/I4</f>
        <v>0.26222244603662981</v>
      </c>
      <c r="H4" s="5">
        <f t="shared" ref="H4:I19" si="0">H3</f>
        <v>0.54385964912280693</v>
      </c>
      <c r="I4" s="6">
        <f t="shared" si="0"/>
        <v>0.15053510790991695</v>
      </c>
    </row>
    <row r="5" spans="1:9" x14ac:dyDescent="0.25">
      <c r="A5" s="3">
        <v>111</v>
      </c>
      <c r="B5" s="3">
        <v>1</v>
      </c>
      <c r="C5" s="1">
        <v>0.5</v>
      </c>
      <c r="D5" s="1">
        <v>0.66666666666666663</v>
      </c>
      <c r="E5" s="1">
        <v>0.33333333333333331</v>
      </c>
      <c r="G5">
        <f>(C5-H5)/I5</f>
        <v>-0.29135827337403164</v>
      </c>
      <c r="H5" s="5">
        <f t="shared" si="0"/>
        <v>0.54385964912280693</v>
      </c>
      <c r="I5" s="6">
        <f t="shared" si="0"/>
        <v>0.15053510790991695</v>
      </c>
    </row>
    <row r="6" spans="1:9" x14ac:dyDescent="0.25">
      <c r="A6" s="3">
        <v>152</v>
      </c>
      <c r="B6" s="3">
        <v>1</v>
      </c>
      <c r="C6" s="1">
        <v>0.25</v>
      </c>
      <c r="D6" s="1">
        <v>0.33333333333333331</v>
      </c>
      <c r="E6" s="1">
        <v>0.16666666666666666</v>
      </c>
      <c r="G6">
        <f>(C6-H6)/I6</f>
        <v>-1.9521004316060151</v>
      </c>
      <c r="H6" s="5">
        <f t="shared" si="0"/>
        <v>0.54385964912280693</v>
      </c>
      <c r="I6" s="6">
        <f t="shared" si="0"/>
        <v>0.15053510790991695</v>
      </c>
    </row>
    <row r="7" spans="1:9" x14ac:dyDescent="0.25">
      <c r="A7" s="3">
        <v>155</v>
      </c>
      <c r="B7" s="3">
        <v>1</v>
      </c>
      <c r="C7" s="1">
        <v>0.5</v>
      </c>
      <c r="D7" s="1">
        <v>0.5</v>
      </c>
      <c r="E7" s="1">
        <v>0.5</v>
      </c>
      <c r="G7">
        <f>(C7-H7)/I7</f>
        <v>-0.29135827337403164</v>
      </c>
      <c r="H7" s="5">
        <f t="shared" si="0"/>
        <v>0.54385964912280693</v>
      </c>
      <c r="I7" s="6">
        <f t="shared" si="0"/>
        <v>0.15053510790991695</v>
      </c>
    </row>
    <row r="8" spans="1:9" x14ac:dyDescent="0.25">
      <c r="A8" s="3">
        <v>205</v>
      </c>
      <c r="B8" s="3">
        <v>1</v>
      </c>
      <c r="C8" s="1">
        <v>1</v>
      </c>
      <c r="D8" s="1">
        <v>1</v>
      </c>
      <c r="E8" s="1">
        <v>1</v>
      </c>
      <c r="G8">
        <f>(C8-H8)/I8</f>
        <v>3.0301260430899353</v>
      </c>
      <c r="H8" s="5">
        <f t="shared" si="0"/>
        <v>0.54385964912280693</v>
      </c>
      <c r="I8" s="6">
        <f t="shared" si="0"/>
        <v>0.15053510790991695</v>
      </c>
    </row>
    <row r="9" spans="1:9" x14ac:dyDescent="0.25">
      <c r="A9" s="3">
        <v>206</v>
      </c>
      <c r="B9" s="3">
        <v>1</v>
      </c>
      <c r="C9" s="1">
        <v>0.5</v>
      </c>
      <c r="D9" s="1">
        <v>0.5</v>
      </c>
      <c r="E9" s="1">
        <v>0.5</v>
      </c>
      <c r="G9">
        <f>(C9-H9)/I9</f>
        <v>-0.29135827337403164</v>
      </c>
      <c r="H9" s="5">
        <f t="shared" si="0"/>
        <v>0.54385964912280693</v>
      </c>
      <c r="I9" s="6">
        <f t="shared" si="0"/>
        <v>0.15053510790991695</v>
      </c>
    </row>
    <row r="10" spans="1:9" x14ac:dyDescent="0.25">
      <c r="A10" s="3">
        <v>207</v>
      </c>
      <c r="B10" s="3">
        <v>1</v>
      </c>
      <c r="C10" s="1">
        <v>0.5</v>
      </c>
      <c r="D10" s="1">
        <v>0.33333333333333331</v>
      </c>
      <c r="E10" s="1">
        <v>0.66666666666666663</v>
      </c>
      <c r="G10">
        <f>(C10-H10)/I10</f>
        <v>-0.29135827337403164</v>
      </c>
      <c r="H10" s="5">
        <f t="shared" si="0"/>
        <v>0.54385964912280693</v>
      </c>
      <c r="I10" s="6">
        <f t="shared" si="0"/>
        <v>0.15053510790991695</v>
      </c>
    </row>
    <row r="11" spans="1:9" x14ac:dyDescent="0.25">
      <c r="A11" s="3">
        <v>212</v>
      </c>
      <c r="B11" s="3">
        <v>1</v>
      </c>
      <c r="C11" s="1">
        <v>0.41666666666666669</v>
      </c>
      <c r="D11" s="1">
        <v>0.33333333333333331</v>
      </c>
      <c r="E11" s="1">
        <v>0.5</v>
      </c>
      <c r="G11">
        <f>(C11-H11)/I11</f>
        <v>-0.84493899278469264</v>
      </c>
      <c r="H11" s="5">
        <f t="shared" si="0"/>
        <v>0.54385964912280693</v>
      </c>
      <c r="I11" s="6">
        <f t="shared" si="0"/>
        <v>0.15053510790991695</v>
      </c>
    </row>
    <row r="12" spans="1:9" x14ac:dyDescent="0.25">
      <c r="A12" s="3">
        <v>214</v>
      </c>
      <c r="B12" s="3">
        <v>1</v>
      </c>
      <c r="C12" s="1">
        <v>0.41666666666666669</v>
      </c>
      <c r="D12" s="1">
        <v>0.5</v>
      </c>
      <c r="E12" s="1">
        <v>0.33333333333333331</v>
      </c>
      <c r="G12">
        <f>(C12-H12)/I12</f>
        <v>-0.84493899278469264</v>
      </c>
      <c r="H12" s="5">
        <f t="shared" si="0"/>
        <v>0.54385964912280693</v>
      </c>
      <c r="I12" s="6">
        <f t="shared" si="0"/>
        <v>0.15053510790991695</v>
      </c>
    </row>
    <row r="13" spans="1:9" x14ac:dyDescent="0.25">
      <c r="A13" s="3">
        <v>216</v>
      </c>
      <c r="B13" s="3">
        <v>1</v>
      </c>
      <c r="C13" s="1">
        <v>0.66666666666666663</v>
      </c>
      <c r="D13" s="1">
        <v>0.66666666666666663</v>
      </c>
      <c r="E13" s="1">
        <v>0.66666666666666663</v>
      </c>
      <c r="G13">
        <f>(C13-H13)/I13</f>
        <v>0.81580316544729048</v>
      </c>
      <c r="H13" s="5">
        <f>H11</f>
        <v>0.54385964912280693</v>
      </c>
      <c r="I13" s="6">
        <f>I11</f>
        <v>0.15053510790991695</v>
      </c>
    </row>
    <row r="14" spans="1:9" x14ac:dyDescent="0.25">
      <c r="A14" s="3">
        <v>219</v>
      </c>
      <c r="B14" s="3">
        <v>1</v>
      </c>
      <c r="C14" s="1">
        <v>0.5</v>
      </c>
      <c r="D14" s="1">
        <v>0.33333333333333331</v>
      </c>
      <c r="E14" s="1">
        <v>0.66666666666666663</v>
      </c>
      <c r="G14">
        <f>(C14-H14)/I14</f>
        <v>-0.29135827337403164</v>
      </c>
      <c r="H14" s="5">
        <f t="shared" si="0"/>
        <v>0.54385964912280693</v>
      </c>
      <c r="I14" s="6">
        <f t="shared" si="0"/>
        <v>0.15053510790991695</v>
      </c>
    </row>
    <row r="15" spans="1:9" x14ac:dyDescent="0.25">
      <c r="A15" s="3">
        <v>224</v>
      </c>
      <c r="B15" s="3">
        <v>1</v>
      </c>
      <c r="C15" s="1">
        <v>0.58333333333333337</v>
      </c>
      <c r="D15" s="1">
        <v>0.5</v>
      </c>
      <c r="E15" s="1">
        <v>0.66666666666666663</v>
      </c>
      <c r="G15">
        <f>(C15-H15)/I15</f>
        <v>0.26222244603662981</v>
      </c>
      <c r="H15" s="5">
        <f t="shared" si="0"/>
        <v>0.54385964912280693</v>
      </c>
      <c r="I15" s="6">
        <f t="shared" si="0"/>
        <v>0.15053510790991695</v>
      </c>
    </row>
    <row r="16" spans="1:9" x14ac:dyDescent="0.25">
      <c r="A16" s="3">
        <v>226</v>
      </c>
      <c r="B16" s="3">
        <v>1</v>
      </c>
      <c r="C16" s="1">
        <v>0.5</v>
      </c>
      <c r="D16" s="1">
        <v>0.66666666666666663</v>
      </c>
      <c r="E16" s="1">
        <v>0.33333333333333331</v>
      </c>
      <c r="G16">
        <f>(C16-H16)/I16</f>
        <v>-0.29135827337403164</v>
      </c>
      <c r="H16" s="5">
        <f t="shared" si="0"/>
        <v>0.54385964912280693</v>
      </c>
      <c r="I16" s="6">
        <f t="shared" si="0"/>
        <v>0.15053510790991695</v>
      </c>
    </row>
    <row r="17" spans="1:9" x14ac:dyDescent="0.25">
      <c r="A17" s="3">
        <v>228</v>
      </c>
      <c r="B17" s="3">
        <v>1</v>
      </c>
      <c r="C17" s="1">
        <v>0.66666666666666663</v>
      </c>
      <c r="D17" s="1">
        <v>0.66666666666666663</v>
      </c>
      <c r="E17" s="1">
        <v>0.66666666666666663</v>
      </c>
      <c r="G17">
        <f>(C17-H17)/I17</f>
        <v>0.81580316544729048</v>
      </c>
      <c r="H17" s="5">
        <f t="shared" si="0"/>
        <v>0.54385964912280693</v>
      </c>
      <c r="I17" s="6">
        <f t="shared" si="0"/>
        <v>0.15053510790991695</v>
      </c>
    </row>
    <row r="18" spans="1:9" x14ac:dyDescent="0.25">
      <c r="A18" s="3">
        <v>229</v>
      </c>
      <c r="B18" s="3">
        <v>1</v>
      </c>
      <c r="C18" s="1">
        <v>0.41666666666666669</v>
      </c>
      <c r="D18" s="1">
        <v>0.5</v>
      </c>
      <c r="E18" s="1">
        <v>0.33333333333333331</v>
      </c>
      <c r="G18">
        <f>(C18-H18)/I18</f>
        <v>-0.84493899278469264</v>
      </c>
      <c r="H18" s="5">
        <f t="shared" si="0"/>
        <v>0.54385964912280693</v>
      </c>
      <c r="I18" s="6">
        <f t="shared" si="0"/>
        <v>0.15053510790991695</v>
      </c>
    </row>
    <row r="19" spans="1:9" x14ac:dyDescent="0.25">
      <c r="A19" s="3">
        <v>230</v>
      </c>
      <c r="B19" s="3">
        <v>1</v>
      </c>
      <c r="C19" s="1">
        <v>0.66666666666666663</v>
      </c>
      <c r="D19" s="1">
        <v>0.66666666666666663</v>
      </c>
      <c r="E19" s="1">
        <v>0.66666666666666663</v>
      </c>
      <c r="G19">
        <f>(C19-H19)/I19</f>
        <v>0.81580316544729048</v>
      </c>
      <c r="H19" s="5">
        <f t="shared" si="0"/>
        <v>0.54385964912280693</v>
      </c>
      <c r="I19" s="6">
        <f t="shared" si="0"/>
        <v>0.15053510790991695</v>
      </c>
    </row>
    <row r="20" spans="1:9" x14ac:dyDescent="0.25">
      <c r="A20" s="9">
        <v>254</v>
      </c>
      <c r="B20" s="9">
        <v>1</v>
      </c>
      <c r="C20" s="13">
        <v>0.5</v>
      </c>
      <c r="D20" s="13">
        <v>0.5</v>
      </c>
      <c r="E20" s="13">
        <v>0.5</v>
      </c>
      <c r="G20" s="10">
        <f>(C20-H20)/I20</f>
        <v>-0.29135827337403164</v>
      </c>
      <c r="H20" s="11">
        <f t="shared" ref="H20:I20" si="1">H19</f>
        <v>0.54385964912280693</v>
      </c>
      <c r="I20" s="12">
        <f t="shared" si="1"/>
        <v>0.15053510790991695</v>
      </c>
    </row>
    <row r="21" spans="1:9" x14ac:dyDescent="0.25">
      <c r="A21" s="3">
        <v>103</v>
      </c>
      <c r="B21" s="3">
        <v>2</v>
      </c>
      <c r="C21" s="1">
        <v>1</v>
      </c>
      <c r="D21" s="1">
        <v>1</v>
      </c>
      <c r="E21" s="1">
        <v>1</v>
      </c>
      <c r="G21">
        <f>(C21-H21)/I21</f>
        <v>2.4871374086630906</v>
      </c>
      <c r="H21" s="5">
        <f>AVERAGE(C21:C39)</f>
        <v>0.61403508771929827</v>
      </c>
      <c r="I21" s="6">
        <f>STDEV(C21:C39)</f>
        <v>0.15518439429053066</v>
      </c>
    </row>
    <row r="22" spans="1:9" x14ac:dyDescent="0.25">
      <c r="A22" s="3">
        <v>104</v>
      </c>
      <c r="B22" s="3">
        <v>2</v>
      </c>
      <c r="C22" s="1">
        <v>0.5</v>
      </c>
      <c r="D22" s="1">
        <v>0.66666666666666663</v>
      </c>
      <c r="E22" s="1">
        <v>0.33333333333333331</v>
      </c>
      <c r="G22">
        <f>(C22-H22)/I22</f>
        <v>-0.73483605255954965</v>
      </c>
      <c r="H22" s="5">
        <f t="shared" ref="H22:I37" si="2">H21</f>
        <v>0.61403508771929827</v>
      </c>
      <c r="I22" s="6">
        <f t="shared" si="2"/>
        <v>0.15518439429053066</v>
      </c>
    </row>
    <row r="23" spans="1:9" x14ac:dyDescent="0.25">
      <c r="A23" s="3">
        <v>108</v>
      </c>
      <c r="B23" s="3">
        <v>2</v>
      </c>
      <c r="C23" s="1">
        <v>0.75</v>
      </c>
      <c r="D23" s="1">
        <v>0.66666666666666663</v>
      </c>
      <c r="E23" s="1">
        <v>0.83333333333333337</v>
      </c>
      <c r="G23">
        <f>(C23-H23)/I23</f>
        <v>0.87615067805177049</v>
      </c>
      <c r="H23" s="5">
        <f t="shared" si="2"/>
        <v>0.61403508771929827</v>
      </c>
      <c r="I23" s="6">
        <f t="shared" si="2"/>
        <v>0.15518439429053066</v>
      </c>
    </row>
    <row r="24" spans="1:9" x14ac:dyDescent="0.25">
      <c r="A24" s="3">
        <v>151</v>
      </c>
      <c r="B24" s="3">
        <v>2</v>
      </c>
      <c r="C24" s="1">
        <v>0.91666666666666663</v>
      </c>
      <c r="D24" s="1">
        <v>1</v>
      </c>
      <c r="E24" s="1">
        <v>0.83333333333333337</v>
      </c>
      <c r="G24">
        <f>(C24-H24)/I24</f>
        <v>1.9501418317926502</v>
      </c>
      <c r="H24" s="5">
        <f t="shared" si="2"/>
        <v>0.61403508771929827</v>
      </c>
      <c r="I24" s="6">
        <f t="shared" si="2"/>
        <v>0.15518439429053066</v>
      </c>
    </row>
    <row r="25" spans="1:9" x14ac:dyDescent="0.25">
      <c r="A25" s="3">
        <v>153</v>
      </c>
      <c r="B25" s="3">
        <v>2</v>
      </c>
      <c r="C25" s="1">
        <v>0.66666666666666663</v>
      </c>
      <c r="D25" s="1">
        <v>0.66666666666666663</v>
      </c>
      <c r="E25" s="1">
        <v>0.66666666666666663</v>
      </c>
      <c r="G25">
        <f>(C25-H25)/I25</f>
        <v>0.33915510118133019</v>
      </c>
      <c r="H25" s="5">
        <f t="shared" si="2"/>
        <v>0.61403508771929827</v>
      </c>
      <c r="I25" s="6">
        <f t="shared" si="2"/>
        <v>0.15518439429053066</v>
      </c>
    </row>
    <row r="26" spans="1:9" x14ac:dyDescent="0.25">
      <c r="A26" s="3">
        <v>154</v>
      </c>
      <c r="B26" s="3">
        <v>2</v>
      </c>
      <c r="C26" s="1">
        <v>0.5</v>
      </c>
      <c r="D26" s="1">
        <v>0.33333333333333331</v>
      </c>
      <c r="E26" s="1">
        <v>0.66666666666666663</v>
      </c>
      <c r="G26">
        <f>(C26-H26)/I26</f>
        <v>-0.73483605255954965</v>
      </c>
      <c r="H26" s="5">
        <f t="shared" si="2"/>
        <v>0.61403508771929827</v>
      </c>
      <c r="I26" s="6">
        <f t="shared" si="2"/>
        <v>0.15518439429053066</v>
      </c>
    </row>
    <row r="27" spans="1:9" x14ac:dyDescent="0.25">
      <c r="A27" s="3">
        <v>201</v>
      </c>
      <c r="B27" s="3">
        <v>2</v>
      </c>
      <c r="C27" s="1">
        <v>0.5</v>
      </c>
      <c r="D27" s="1">
        <v>0.5</v>
      </c>
      <c r="E27" s="1">
        <v>0.5</v>
      </c>
      <c r="G27">
        <f>(C27-H27)/I27</f>
        <v>-0.73483605255954965</v>
      </c>
      <c r="H27" s="5">
        <f t="shared" si="2"/>
        <v>0.61403508771929827</v>
      </c>
      <c r="I27" s="6">
        <f t="shared" si="2"/>
        <v>0.15518439429053066</v>
      </c>
    </row>
    <row r="28" spans="1:9" x14ac:dyDescent="0.25">
      <c r="A28" s="3">
        <v>202</v>
      </c>
      <c r="B28" s="3">
        <v>2</v>
      </c>
      <c r="C28" s="1">
        <v>0.66666666666666663</v>
      </c>
      <c r="D28" s="1">
        <v>0.83333333333333337</v>
      </c>
      <c r="E28" s="1">
        <v>0.5</v>
      </c>
      <c r="G28">
        <f>(C28-H28)/I28</f>
        <v>0.33915510118133019</v>
      </c>
      <c r="H28" s="5">
        <f t="shared" si="2"/>
        <v>0.61403508771929827</v>
      </c>
      <c r="I28" s="6">
        <f t="shared" si="2"/>
        <v>0.15518439429053066</v>
      </c>
    </row>
    <row r="29" spans="1:9" x14ac:dyDescent="0.25">
      <c r="A29" s="3">
        <v>203</v>
      </c>
      <c r="B29" s="3">
        <v>2</v>
      </c>
      <c r="C29" s="1">
        <v>0.41666666666666669</v>
      </c>
      <c r="D29" s="1">
        <v>0.5</v>
      </c>
      <c r="E29" s="1">
        <v>0.33333333333333331</v>
      </c>
      <c r="G29">
        <f>(C29-H29)/I29</f>
        <v>-1.2718316294299896</v>
      </c>
      <c r="H29" s="5">
        <f t="shared" si="2"/>
        <v>0.61403508771929827</v>
      </c>
      <c r="I29" s="6">
        <f t="shared" si="2"/>
        <v>0.15518439429053066</v>
      </c>
    </row>
    <row r="30" spans="1:9" x14ac:dyDescent="0.25">
      <c r="A30" s="3">
        <v>210</v>
      </c>
      <c r="B30" s="3">
        <v>2</v>
      </c>
      <c r="C30" s="1">
        <v>0.58333333333333337</v>
      </c>
      <c r="D30" s="1">
        <v>0.5</v>
      </c>
      <c r="E30" s="1">
        <v>0.66666666666666663</v>
      </c>
      <c r="G30">
        <f>(C30-H30)/I30</f>
        <v>-0.1978404756891094</v>
      </c>
      <c r="H30" s="5">
        <f t="shared" si="2"/>
        <v>0.61403508771929827</v>
      </c>
      <c r="I30" s="6">
        <f t="shared" si="2"/>
        <v>0.15518439429053066</v>
      </c>
    </row>
    <row r="31" spans="1:9" x14ac:dyDescent="0.25">
      <c r="A31" s="3">
        <v>213</v>
      </c>
      <c r="B31" s="3">
        <v>2</v>
      </c>
      <c r="C31" s="1">
        <v>0.75</v>
      </c>
      <c r="D31" s="1">
        <v>0.83333333333333337</v>
      </c>
      <c r="E31" s="1">
        <v>0.66666666666666663</v>
      </c>
      <c r="G31">
        <f>(C31-H31)/I31</f>
        <v>0.87615067805177049</v>
      </c>
      <c r="H31" s="5">
        <f t="shared" si="2"/>
        <v>0.61403508771929827</v>
      </c>
      <c r="I31" s="6">
        <f t="shared" si="2"/>
        <v>0.15518439429053066</v>
      </c>
    </row>
    <row r="32" spans="1:9" x14ac:dyDescent="0.25">
      <c r="A32" s="3">
        <v>220</v>
      </c>
      <c r="B32" s="3">
        <v>2</v>
      </c>
      <c r="C32" s="1">
        <v>0.58333333333333337</v>
      </c>
      <c r="D32" s="1">
        <v>0.83333333333333337</v>
      </c>
      <c r="E32" s="1">
        <v>0.33333333333333331</v>
      </c>
      <c r="G32">
        <f>(C32-H32)/I32</f>
        <v>-0.1978404756891094</v>
      </c>
      <c r="H32" s="5">
        <f t="shared" si="2"/>
        <v>0.61403508771929827</v>
      </c>
      <c r="I32" s="6">
        <f t="shared" si="2"/>
        <v>0.15518439429053066</v>
      </c>
    </row>
    <row r="33" spans="1:9" x14ac:dyDescent="0.25">
      <c r="A33" s="3">
        <v>221</v>
      </c>
      <c r="B33" s="3">
        <v>2</v>
      </c>
      <c r="C33" s="1">
        <v>0.66666666666666663</v>
      </c>
      <c r="D33" s="1">
        <v>0.83333333333333337</v>
      </c>
      <c r="E33" s="1">
        <v>0.5</v>
      </c>
      <c r="G33">
        <f>(C33-H33)/I33</f>
        <v>0.33915510118133019</v>
      </c>
      <c r="H33" s="5">
        <f t="shared" si="2"/>
        <v>0.61403508771929827</v>
      </c>
      <c r="I33" s="6">
        <f t="shared" si="2"/>
        <v>0.15518439429053066</v>
      </c>
    </row>
    <row r="34" spans="1:9" x14ac:dyDescent="0.25">
      <c r="A34" s="3">
        <v>225</v>
      </c>
      <c r="B34" s="3">
        <v>2</v>
      </c>
      <c r="C34" s="1">
        <v>0.5</v>
      </c>
      <c r="D34" s="1">
        <v>0.5</v>
      </c>
      <c r="E34" s="1">
        <v>0.5</v>
      </c>
      <c r="G34">
        <f>(C34-H34)/I34</f>
        <v>-0.73483605255954965</v>
      </c>
      <c r="H34" s="5">
        <f t="shared" si="2"/>
        <v>0.61403508771929827</v>
      </c>
      <c r="I34" s="6">
        <f t="shared" si="2"/>
        <v>0.15518439429053066</v>
      </c>
    </row>
    <row r="35" spans="1:9" x14ac:dyDescent="0.25">
      <c r="A35" s="3">
        <v>231</v>
      </c>
      <c r="B35" s="3">
        <v>2</v>
      </c>
      <c r="C35" s="1">
        <v>0.58333333333333337</v>
      </c>
      <c r="D35" s="1">
        <v>0.66666666666666663</v>
      </c>
      <c r="E35" s="1">
        <v>0.5</v>
      </c>
      <c r="G35">
        <f>(C35-H35)/I35</f>
        <v>-0.1978404756891094</v>
      </c>
      <c r="H35" s="5">
        <f t="shared" si="2"/>
        <v>0.61403508771929827</v>
      </c>
      <c r="I35" s="6">
        <f t="shared" si="2"/>
        <v>0.15518439429053066</v>
      </c>
    </row>
    <row r="36" spans="1:9" x14ac:dyDescent="0.25">
      <c r="A36" s="3">
        <v>251</v>
      </c>
      <c r="B36" s="3">
        <v>2</v>
      </c>
      <c r="C36" s="1">
        <v>0.41666666666666669</v>
      </c>
      <c r="D36" s="1">
        <v>0.33333333333333331</v>
      </c>
      <c r="E36" s="1">
        <v>0.5</v>
      </c>
      <c r="G36">
        <f>(C36-H36)/I36</f>
        <v>-1.2718316294299896</v>
      </c>
      <c r="H36" s="5">
        <f t="shared" si="2"/>
        <v>0.61403508771929827</v>
      </c>
      <c r="I36" s="6">
        <f t="shared" si="2"/>
        <v>0.15518439429053066</v>
      </c>
    </row>
    <row r="37" spans="1:9" x14ac:dyDescent="0.25">
      <c r="A37" s="3">
        <v>252</v>
      </c>
      <c r="B37" s="3">
        <v>2</v>
      </c>
      <c r="C37" s="1">
        <v>0.58333333333333337</v>
      </c>
      <c r="D37" s="1">
        <v>0.66666666666666663</v>
      </c>
      <c r="E37" s="1">
        <v>0.5</v>
      </c>
      <c r="G37">
        <f>(C37-H37)/I37</f>
        <v>-0.1978404756891094</v>
      </c>
      <c r="H37" s="5">
        <f t="shared" si="2"/>
        <v>0.61403508771929827</v>
      </c>
      <c r="I37" s="6">
        <f t="shared" si="2"/>
        <v>0.15518439429053066</v>
      </c>
    </row>
    <row r="38" spans="1:9" x14ac:dyDescent="0.25">
      <c r="A38" s="3">
        <v>255</v>
      </c>
      <c r="B38" s="3">
        <v>2</v>
      </c>
      <c r="C38" s="1">
        <v>0.58333333333333337</v>
      </c>
      <c r="D38" s="1">
        <v>0.66666666666666663</v>
      </c>
      <c r="E38" s="1">
        <v>0.5</v>
      </c>
      <c r="G38">
        <f>(C38-H38)/I38</f>
        <v>-0.1978404756891094</v>
      </c>
      <c r="H38" s="5">
        <f t="shared" ref="H38:I53" si="3">H37</f>
        <v>0.61403508771929827</v>
      </c>
      <c r="I38" s="6">
        <f t="shared" si="3"/>
        <v>0.15518439429053066</v>
      </c>
    </row>
    <row r="39" spans="1:9" x14ac:dyDescent="0.25">
      <c r="A39" s="9">
        <v>257</v>
      </c>
      <c r="B39" s="9">
        <v>2</v>
      </c>
      <c r="C39" s="13">
        <v>0.5</v>
      </c>
      <c r="D39" s="13">
        <v>0.5</v>
      </c>
      <c r="E39" s="13">
        <v>0.5</v>
      </c>
      <c r="G39" s="10">
        <f>(C39-H39)/I39</f>
        <v>-0.73483605255954965</v>
      </c>
      <c r="H39" s="11">
        <f t="shared" si="3"/>
        <v>0.61403508771929827</v>
      </c>
      <c r="I39" s="12">
        <f t="shared" si="3"/>
        <v>0.15518439429053066</v>
      </c>
    </row>
    <row r="40" spans="1:9" x14ac:dyDescent="0.25">
      <c r="A40" s="3">
        <v>101</v>
      </c>
      <c r="B40" s="3">
        <v>3</v>
      </c>
      <c r="C40" s="1">
        <v>0.83333333333333337</v>
      </c>
      <c r="D40" s="1">
        <v>0.83333333333333337</v>
      </c>
      <c r="E40" s="1">
        <v>0.83333333333333337</v>
      </c>
      <c r="G40">
        <f>(C40-H40)/I40</f>
        <v>0.99315907841260087</v>
      </c>
      <c r="H40" s="5">
        <f>AVERAGE(C40:C57)</f>
        <v>0.64814814814814825</v>
      </c>
      <c r="I40" s="6">
        <f>STDEV(C40:C57)</f>
        <v>0.18646074854510997</v>
      </c>
    </row>
    <row r="41" spans="1:9" x14ac:dyDescent="0.25">
      <c r="A41" s="3">
        <v>106</v>
      </c>
      <c r="B41" s="3">
        <v>3</v>
      </c>
      <c r="C41" s="1">
        <v>0.58333333333333337</v>
      </c>
      <c r="D41" s="1">
        <v>0.66666666666666663</v>
      </c>
      <c r="E41" s="1">
        <v>0.5</v>
      </c>
      <c r="G41">
        <f>(C41-H41)/I41</f>
        <v>-0.34760567744441079</v>
      </c>
      <c r="H41" s="5">
        <f t="shared" si="3"/>
        <v>0.64814814814814825</v>
      </c>
      <c r="I41" s="6">
        <f t="shared" si="3"/>
        <v>0.18646074854510997</v>
      </c>
    </row>
    <row r="42" spans="1:9" x14ac:dyDescent="0.25">
      <c r="A42" s="3">
        <v>107</v>
      </c>
      <c r="B42" s="3">
        <v>3</v>
      </c>
      <c r="C42" s="1">
        <v>0.58333333333333337</v>
      </c>
      <c r="D42" s="1">
        <v>0.5</v>
      </c>
      <c r="E42" s="1">
        <v>0.66666666666666663</v>
      </c>
      <c r="G42">
        <f>(C42-H42)/I42</f>
        <v>-0.34760567744441079</v>
      </c>
      <c r="H42" s="5">
        <f t="shared" si="3"/>
        <v>0.64814814814814825</v>
      </c>
      <c r="I42" s="6">
        <f t="shared" si="3"/>
        <v>0.18646074854510997</v>
      </c>
    </row>
    <row r="43" spans="1:9" x14ac:dyDescent="0.25">
      <c r="A43" s="3">
        <v>109</v>
      </c>
      <c r="B43" s="3">
        <v>3</v>
      </c>
      <c r="C43" s="1">
        <v>0.5</v>
      </c>
      <c r="D43" s="1">
        <v>0.5</v>
      </c>
      <c r="E43" s="1">
        <v>0.5</v>
      </c>
      <c r="G43">
        <f>(C43-H43)/I43</f>
        <v>-0.79452726273008156</v>
      </c>
      <c r="H43" s="5">
        <f t="shared" si="3"/>
        <v>0.64814814814814825</v>
      </c>
      <c r="I43" s="6">
        <f t="shared" si="3"/>
        <v>0.18646074854510997</v>
      </c>
    </row>
    <row r="44" spans="1:9" x14ac:dyDescent="0.25">
      <c r="A44" s="3">
        <v>156</v>
      </c>
      <c r="B44" s="3">
        <v>3</v>
      </c>
      <c r="C44" s="1">
        <v>0.58333333333333337</v>
      </c>
      <c r="D44" s="1">
        <v>0.5</v>
      </c>
      <c r="E44" s="1">
        <v>0.66666666666666663</v>
      </c>
      <c r="G44">
        <f>(C44-H44)/I44</f>
        <v>-0.34760567744441079</v>
      </c>
      <c r="H44" s="5">
        <f t="shared" si="3"/>
        <v>0.64814814814814825</v>
      </c>
      <c r="I44" s="6">
        <f t="shared" si="3"/>
        <v>0.18646074854510997</v>
      </c>
    </row>
    <row r="45" spans="1:9" x14ac:dyDescent="0.25">
      <c r="A45" s="3">
        <v>204</v>
      </c>
      <c r="B45" s="3">
        <v>3</v>
      </c>
      <c r="C45" s="1">
        <v>0.5</v>
      </c>
      <c r="D45" s="1">
        <v>0.5</v>
      </c>
      <c r="E45" s="1">
        <v>0.5</v>
      </c>
      <c r="G45">
        <f>(C45-H45)/I45</f>
        <v>-0.79452726273008156</v>
      </c>
      <c r="H45" s="5">
        <f t="shared" si="3"/>
        <v>0.64814814814814825</v>
      </c>
      <c r="I45" s="6">
        <f t="shared" si="3"/>
        <v>0.18646074854510997</v>
      </c>
    </row>
    <row r="46" spans="1:9" x14ac:dyDescent="0.25">
      <c r="A46" s="3">
        <v>208</v>
      </c>
      <c r="B46" s="3">
        <v>3</v>
      </c>
      <c r="C46" s="1">
        <v>1</v>
      </c>
      <c r="D46" s="1">
        <v>1</v>
      </c>
      <c r="E46" s="1">
        <v>1</v>
      </c>
      <c r="G46">
        <f>(C46-H46)/I46</f>
        <v>1.8870022489839418</v>
      </c>
      <c r="H46" s="5">
        <f t="shared" si="3"/>
        <v>0.64814814814814825</v>
      </c>
      <c r="I46" s="6">
        <f t="shared" si="3"/>
        <v>0.18646074854510997</v>
      </c>
    </row>
    <row r="47" spans="1:9" x14ac:dyDescent="0.25">
      <c r="A47" s="3">
        <v>209</v>
      </c>
      <c r="B47" s="3">
        <v>3</v>
      </c>
      <c r="C47" s="1">
        <v>0.41666666666666669</v>
      </c>
      <c r="D47" s="1">
        <v>0.66666666666666663</v>
      </c>
      <c r="E47" s="1">
        <v>0.16666666666666666</v>
      </c>
      <c r="G47">
        <f>(C47-H47)/I47</f>
        <v>-1.2414488480157519</v>
      </c>
      <c r="H47" s="5">
        <f t="shared" si="3"/>
        <v>0.64814814814814825</v>
      </c>
      <c r="I47" s="6">
        <f t="shared" si="3"/>
        <v>0.18646074854510997</v>
      </c>
    </row>
    <row r="48" spans="1:9" x14ac:dyDescent="0.25">
      <c r="A48" s="3">
        <v>211</v>
      </c>
      <c r="B48" s="3">
        <v>3</v>
      </c>
      <c r="C48" s="1">
        <v>0.66666666666666663</v>
      </c>
      <c r="D48" s="1">
        <v>0.5</v>
      </c>
      <c r="E48" s="1">
        <v>0.83333333333333337</v>
      </c>
      <c r="G48">
        <f>(C48-H48)/I48</f>
        <v>9.9315907841259377E-2</v>
      </c>
      <c r="H48" s="5">
        <f t="shared" si="3"/>
        <v>0.64814814814814825</v>
      </c>
      <c r="I48" s="6">
        <f t="shared" si="3"/>
        <v>0.18646074854510997</v>
      </c>
    </row>
    <row r="49" spans="1:9" x14ac:dyDescent="0.25">
      <c r="A49" s="3">
        <v>215</v>
      </c>
      <c r="B49" s="3">
        <v>3</v>
      </c>
      <c r="C49" s="1">
        <v>0.66666666666666663</v>
      </c>
      <c r="D49" s="1">
        <v>0.5</v>
      </c>
      <c r="E49" s="1">
        <v>0.83333333333333337</v>
      </c>
      <c r="G49">
        <f>(C49-H49)/I49</f>
        <v>9.9315907841259377E-2</v>
      </c>
      <c r="H49" s="5">
        <f t="shared" si="3"/>
        <v>0.64814814814814825</v>
      </c>
      <c r="I49" s="6">
        <f t="shared" si="3"/>
        <v>0.18646074854510997</v>
      </c>
    </row>
    <row r="50" spans="1:9" x14ac:dyDescent="0.25">
      <c r="A50" s="3">
        <v>217</v>
      </c>
      <c r="B50" s="3">
        <v>3</v>
      </c>
      <c r="C50" s="1">
        <v>0.58333333333333337</v>
      </c>
      <c r="D50" s="1">
        <v>0.33333333333333331</v>
      </c>
      <c r="E50" s="1">
        <v>0.83333333333333337</v>
      </c>
      <c r="G50">
        <f>(C50-H50)/I50</f>
        <v>-0.34760567744441079</v>
      </c>
      <c r="H50" s="5">
        <f t="shared" si="3"/>
        <v>0.64814814814814825</v>
      </c>
      <c r="I50" s="6">
        <f t="shared" si="3"/>
        <v>0.18646074854510997</v>
      </c>
    </row>
    <row r="51" spans="1:9" x14ac:dyDescent="0.25">
      <c r="A51" s="3">
        <v>218</v>
      </c>
      <c r="B51" s="3">
        <v>3</v>
      </c>
      <c r="C51" s="1">
        <v>0.91666666666666663</v>
      </c>
      <c r="D51" s="1">
        <v>0.83333333333333337</v>
      </c>
      <c r="E51" s="1">
        <v>1</v>
      </c>
      <c r="G51">
        <f>(C51-H51)/I51</f>
        <v>1.440080663698271</v>
      </c>
      <c r="H51" s="5">
        <f t="shared" si="3"/>
        <v>0.64814814814814825</v>
      </c>
      <c r="I51" s="6">
        <f t="shared" si="3"/>
        <v>0.18646074854510997</v>
      </c>
    </row>
    <row r="52" spans="1:9" x14ac:dyDescent="0.25">
      <c r="A52" s="3">
        <v>222</v>
      </c>
      <c r="B52" s="3">
        <v>3</v>
      </c>
      <c r="C52" s="1">
        <v>0.41666666666666669</v>
      </c>
      <c r="D52" s="1">
        <v>0.5</v>
      </c>
      <c r="E52" s="1">
        <v>0.33333333333333331</v>
      </c>
      <c r="G52">
        <f>(C52-H52)/I52</f>
        <v>-1.2414488480157519</v>
      </c>
      <c r="H52" s="5">
        <f t="shared" si="3"/>
        <v>0.64814814814814825</v>
      </c>
      <c r="I52" s="6">
        <f t="shared" si="3"/>
        <v>0.18646074854510997</v>
      </c>
    </row>
    <row r="53" spans="1:9" x14ac:dyDescent="0.25">
      <c r="A53" s="3">
        <v>223</v>
      </c>
      <c r="B53" s="3">
        <v>3</v>
      </c>
      <c r="C53" s="1">
        <v>0.91666666666666663</v>
      </c>
      <c r="D53" s="1">
        <v>1</v>
      </c>
      <c r="E53" s="1">
        <v>0.83333333333333337</v>
      </c>
      <c r="G53">
        <f>(C53-H53)/I53</f>
        <v>1.440080663698271</v>
      </c>
      <c r="H53" s="5">
        <f t="shared" si="3"/>
        <v>0.64814814814814825</v>
      </c>
      <c r="I53" s="6">
        <f t="shared" si="3"/>
        <v>0.18646074854510997</v>
      </c>
    </row>
    <row r="54" spans="1:9" x14ac:dyDescent="0.25">
      <c r="A54" s="3">
        <v>227</v>
      </c>
      <c r="B54" s="3">
        <v>3</v>
      </c>
      <c r="C54" s="1">
        <v>0.5</v>
      </c>
      <c r="D54" s="1">
        <v>0.5</v>
      </c>
      <c r="E54" s="1">
        <v>0.5</v>
      </c>
      <c r="G54">
        <f>(C54-H54)/I54</f>
        <v>-0.79452726273008156</v>
      </c>
      <c r="H54" s="5">
        <f t="shared" ref="H54:I57" si="4">H53</f>
        <v>0.64814814814814825</v>
      </c>
      <c r="I54" s="6">
        <f t="shared" si="4"/>
        <v>0.18646074854510997</v>
      </c>
    </row>
    <row r="55" spans="1:9" x14ac:dyDescent="0.25">
      <c r="A55" s="3">
        <v>232</v>
      </c>
      <c r="B55" s="3">
        <v>3</v>
      </c>
      <c r="C55" s="1">
        <v>0.41666666666666669</v>
      </c>
      <c r="D55" s="1">
        <v>0.5</v>
      </c>
      <c r="E55" s="1">
        <v>0.33333333333333331</v>
      </c>
      <c r="G55">
        <f>(C55-H55)/I55</f>
        <v>-1.2414488480157519</v>
      </c>
      <c r="H55" s="5">
        <f t="shared" si="4"/>
        <v>0.64814814814814825</v>
      </c>
      <c r="I55" s="6">
        <f t="shared" si="4"/>
        <v>0.18646074854510997</v>
      </c>
    </row>
    <row r="56" spans="1:9" x14ac:dyDescent="0.25">
      <c r="A56" s="3">
        <v>253</v>
      </c>
      <c r="B56" s="3">
        <v>3</v>
      </c>
      <c r="C56" s="1">
        <v>0.75</v>
      </c>
      <c r="D56" s="1">
        <v>0.83333333333333337</v>
      </c>
      <c r="E56" s="1">
        <v>0.66666666666666663</v>
      </c>
      <c r="G56">
        <f>(C56-H56)/I56</f>
        <v>0.54623749312693015</v>
      </c>
      <c r="H56" s="5">
        <f t="shared" si="4"/>
        <v>0.64814814814814825</v>
      </c>
      <c r="I56" s="6">
        <f t="shared" si="4"/>
        <v>0.18646074854510997</v>
      </c>
    </row>
    <row r="57" spans="1:9" x14ac:dyDescent="0.25">
      <c r="A57" s="3">
        <v>256</v>
      </c>
      <c r="B57" s="3">
        <v>3</v>
      </c>
      <c r="C57" s="1">
        <v>0.83333333333333337</v>
      </c>
      <c r="D57" s="1">
        <v>1</v>
      </c>
      <c r="E57" s="1">
        <v>0.66666666666666663</v>
      </c>
      <c r="G57">
        <f>(C57-H57)/I57</f>
        <v>0.99315907841260087</v>
      </c>
      <c r="H57" s="5">
        <f t="shared" si="4"/>
        <v>0.64814814814814825</v>
      </c>
      <c r="I57" s="6">
        <f t="shared" si="4"/>
        <v>0.18646074854510997</v>
      </c>
    </row>
  </sheetData>
  <conditionalFormatting sqref="G2:G57">
    <cfRule type="cellIs" dxfId="1" priority="1" operator="lessThanOrEqual">
      <formula>-2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H2" sqref="H2"/>
    </sheetView>
  </sheetViews>
  <sheetFormatPr baseColWidth="10" defaultRowHeight="15" x14ac:dyDescent="0.25"/>
  <sheetData>
    <row r="1" spans="1:9" ht="15.75" x14ac:dyDescent="0.25">
      <c r="A1" s="2" t="s">
        <v>0</v>
      </c>
      <c r="B1" s="2" t="s">
        <v>6</v>
      </c>
      <c r="C1" s="2" t="s">
        <v>2</v>
      </c>
      <c r="D1" s="2" t="s">
        <v>3</v>
      </c>
      <c r="E1" s="2" t="s">
        <v>4</v>
      </c>
      <c r="G1" s="2" t="s">
        <v>5</v>
      </c>
      <c r="H1" s="4" t="s">
        <v>7</v>
      </c>
      <c r="I1" s="4" t="s">
        <v>1</v>
      </c>
    </row>
    <row r="2" spans="1:9" x14ac:dyDescent="0.25">
      <c r="A2" s="3">
        <v>102</v>
      </c>
      <c r="B2" s="3">
        <v>1</v>
      </c>
      <c r="C2" s="1">
        <v>0.75</v>
      </c>
      <c r="D2" s="1">
        <v>0.66666666666666663</v>
      </c>
      <c r="E2" s="1">
        <v>0.83333333333333337</v>
      </c>
      <c r="G2">
        <f>(C2-H2)/I2</f>
        <v>0.81907804289832897</v>
      </c>
      <c r="H2" s="8">
        <f>AVERAGE(C2:C20)</f>
        <v>0.60964912280701744</v>
      </c>
      <c r="I2" s="7">
        <f>STDEV(C2:C20)</f>
        <v>0.17135226418272345</v>
      </c>
    </row>
    <row r="3" spans="1:9" x14ac:dyDescent="0.25">
      <c r="A3" s="3">
        <v>105</v>
      </c>
      <c r="B3" s="3">
        <v>1</v>
      </c>
      <c r="C3" s="1">
        <v>0.75</v>
      </c>
      <c r="D3" s="1">
        <v>0.83333333333333337</v>
      </c>
      <c r="E3" s="1">
        <v>0.66666666666666663</v>
      </c>
      <c r="G3">
        <f>(C3-H3)/I3</f>
        <v>0.81907804289832897</v>
      </c>
      <c r="H3" s="5">
        <f>H2</f>
        <v>0.60964912280701744</v>
      </c>
      <c r="I3" s="6">
        <f>I2</f>
        <v>0.17135226418272345</v>
      </c>
    </row>
    <row r="4" spans="1:9" x14ac:dyDescent="0.25">
      <c r="A4" s="3">
        <v>110</v>
      </c>
      <c r="B4" s="3">
        <v>1</v>
      </c>
      <c r="C4" s="1">
        <v>0.5</v>
      </c>
      <c r="D4" s="1">
        <v>0.5</v>
      </c>
      <c r="E4" s="1">
        <v>0.5</v>
      </c>
      <c r="G4">
        <f>(C4-H4)/I4</f>
        <v>-0.63990472101431839</v>
      </c>
      <c r="H4" s="5">
        <f t="shared" ref="H4:I19" si="0">H3</f>
        <v>0.60964912280701744</v>
      </c>
      <c r="I4" s="6">
        <f t="shared" si="0"/>
        <v>0.17135226418272345</v>
      </c>
    </row>
    <row r="5" spans="1:9" x14ac:dyDescent="0.25">
      <c r="A5" s="3">
        <v>111</v>
      </c>
      <c r="B5" s="3">
        <v>1</v>
      </c>
      <c r="C5" s="1">
        <v>0.66666666666666663</v>
      </c>
      <c r="D5" s="1">
        <v>0.5</v>
      </c>
      <c r="E5" s="1">
        <v>0.83333333333333337</v>
      </c>
      <c r="G5">
        <f>(C5-H5)/I5</f>
        <v>0.33275045492744632</v>
      </c>
      <c r="H5" s="5">
        <f t="shared" si="0"/>
        <v>0.60964912280701744</v>
      </c>
      <c r="I5" s="6">
        <f t="shared" si="0"/>
        <v>0.17135226418272345</v>
      </c>
    </row>
    <row r="6" spans="1:9" x14ac:dyDescent="0.25">
      <c r="A6" s="3">
        <v>152</v>
      </c>
      <c r="B6" s="3">
        <v>1</v>
      </c>
      <c r="C6" s="1">
        <v>0.58333333333333337</v>
      </c>
      <c r="D6" s="1">
        <v>0.83333333333333337</v>
      </c>
      <c r="E6" s="1">
        <v>0.33333333333333331</v>
      </c>
      <c r="G6">
        <f>(C6-H6)/I6</f>
        <v>-0.15357713304343576</v>
      </c>
      <c r="H6" s="5">
        <f t="shared" si="0"/>
        <v>0.60964912280701744</v>
      </c>
      <c r="I6" s="6">
        <f t="shared" si="0"/>
        <v>0.17135226418272345</v>
      </c>
    </row>
    <row r="7" spans="1:9" x14ac:dyDescent="0.25">
      <c r="A7" s="3">
        <v>155</v>
      </c>
      <c r="B7" s="3">
        <v>1</v>
      </c>
      <c r="C7" s="1">
        <v>0.5</v>
      </c>
      <c r="D7" s="1">
        <v>0.5</v>
      </c>
      <c r="E7" s="1">
        <v>0.5</v>
      </c>
      <c r="G7">
        <f>(C7-H7)/I7</f>
        <v>-0.63990472101431839</v>
      </c>
      <c r="H7" s="5">
        <f t="shared" si="0"/>
        <v>0.60964912280701744</v>
      </c>
      <c r="I7" s="6">
        <f t="shared" si="0"/>
        <v>0.17135226418272345</v>
      </c>
    </row>
    <row r="8" spans="1:9" x14ac:dyDescent="0.25">
      <c r="A8" s="3">
        <v>205</v>
      </c>
      <c r="B8" s="3">
        <v>1</v>
      </c>
      <c r="C8" s="1">
        <v>1</v>
      </c>
      <c r="D8" s="1">
        <v>1</v>
      </c>
      <c r="E8" s="1">
        <v>1</v>
      </c>
      <c r="G8">
        <f>(C8-H8)/I8</f>
        <v>2.2780608068109762</v>
      </c>
      <c r="H8" s="5">
        <f t="shared" si="0"/>
        <v>0.60964912280701744</v>
      </c>
      <c r="I8" s="6">
        <f t="shared" si="0"/>
        <v>0.17135226418272345</v>
      </c>
    </row>
    <row r="9" spans="1:9" x14ac:dyDescent="0.25">
      <c r="A9" s="3">
        <v>206</v>
      </c>
      <c r="B9" s="3">
        <v>1</v>
      </c>
      <c r="C9" s="1">
        <v>0.5</v>
      </c>
      <c r="D9" s="1">
        <v>0.5</v>
      </c>
      <c r="E9" s="1">
        <v>0.5</v>
      </c>
      <c r="G9">
        <f>(C9-H9)/I9</f>
        <v>-0.63990472101431839</v>
      </c>
      <c r="H9" s="5">
        <f t="shared" si="0"/>
        <v>0.60964912280701744</v>
      </c>
      <c r="I9" s="6">
        <f t="shared" si="0"/>
        <v>0.17135226418272345</v>
      </c>
    </row>
    <row r="10" spans="1:9" x14ac:dyDescent="0.25">
      <c r="A10" s="3">
        <v>207</v>
      </c>
      <c r="B10" s="3">
        <v>1</v>
      </c>
      <c r="C10" s="1">
        <v>0.41666666666666669</v>
      </c>
      <c r="D10" s="1">
        <v>0.5</v>
      </c>
      <c r="E10" s="1">
        <v>0.33333333333333331</v>
      </c>
      <c r="G10">
        <f>(C10-H10)/I10</f>
        <v>-1.1262323089852009</v>
      </c>
      <c r="H10" s="5">
        <f t="shared" si="0"/>
        <v>0.60964912280701744</v>
      </c>
      <c r="I10" s="6">
        <f t="shared" si="0"/>
        <v>0.17135226418272345</v>
      </c>
    </row>
    <row r="11" spans="1:9" x14ac:dyDescent="0.25">
      <c r="A11" s="3">
        <v>212</v>
      </c>
      <c r="B11" s="3">
        <v>1</v>
      </c>
      <c r="C11" s="1">
        <v>0.5</v>
      </c>
      <c r="D11" s="1">
        <v>0.5</v>
      </c>
      <c r="E11" s="1">
        <v>0.5</v>
      </c>
      <c r="G11">
        <f>(C11-H11)/I11</f>
        <v>-0.63990472101431839</v>
      </c>
      <c r="H11" s="5">
        <f t="shared" si="0"/>
        <v>0.60964912280701744</v>
      </c>
      <c r="I11" s="6">
        <f t="shared" si="0"/>
        <v>0.17135226418272345</v>
      </c>
    </row>
    <row r="12" spans="1:9" x14ac:dyDescent="0.25">
      <c r="A12" s="3">
        <v>214</v>
      </c>
      <c r="B12" s="3">
        <v>1</v>
      </c>
      <c r="C12" s="1">
        <v>0.58333333333333337</v>
      </c>
      <c r="D12" s="1">
        <v>0.66666666666666663</v>
      </c>
      <c r="E12" s="1">
        <v>0.5</v>
      </c>
      <c r="G12">
        <f>(C12-H12)/I12</f>
        <v>-0.15357713304343576</v>
      </c>
      <c r="H12" s="5">
        <f t="shared" si="0"/>
        <v>0.60964912280701744</v>
      </c>
      <c r="I12" s="6">
        <f t="shared" si="0"/>
        <v>0.17135226418272345</v>
      </c>
    </row>
    <row r="13" spans="1:9" x14ac:dyDescent="0.25">
      <c r="A13" s="3">
        <v>216</v>
      </c>
      <c r="B13" s="3">
        <v>1</v>
      </c>
      <c r="C13" s="1">
        <v>0.83333333333333337</v>
      </c>
      <c r="D13" s="1">
        <v>1</v>
      </c>
      <c r="E13" s="1">
        <v>0.66666666666666663</v>
      </c>
      <c r="G13">
        <f>(C13-H13)/I13</f>
        <v>1.3054056308692117</v>
      </c>
      <c r="H13" s="5">
        <f>H11</f>
        <v>0.60964912280701744</v>
      </c>
      <c r="I13" s="6">
        <f>I11</f>
        <v>0.17135226418272345</v>
      </c>
    </row>
    <row r="14" spans="1:9" x14ac:dyDescent="0.25">
      <c r="A14" s="3">
        <v>219</v>
      </c>
      <c r="B14" s="3">
        <v>1</v>
      </c>
      <c r="C14" s="1">
        <v>0.66666666666666663</v>
      </c>
      <c r="D14" s="1">
        <v>0.83333333333333337</v>
      </c>
      <c r="E14" s="1">
        <v>0.5</v>
      </c>
      <c r="G14">
        <f>(C14-H14)/I14</f>
        <v>0.33275045492744632</v>
      </c>
      <c r="H14" s="5">
        <f t="shared" si="0"/>
        <v>0.60964912280701744</v>
      </c>
      <c r="I14" s="6">
        <f t="shared" si="0"/>
        <v>0.17135226418272345</v>
      </c>
    </row>
    <row r="15" spans="1:9" x14ac:dyDescent="0.25">
      <c r="A15" s="3">
        <v>224</v>
      </c>
      <c r="B15" s="3">
        <v>1</v>
      </c>
      <c r="C15" s="1">
        <v>0.91666666666666663</v>
      </c>
      <c r="D15" s="1">
        <v>0.83333333333333337</v>
      </c>
      <c r="E15" s="1">
        <v>1</v>
      </c>
      <c r="G15">
        <f>(C15-H15)/I15</f>
        <v>1.7917332188400936</v>
      </c>
      <c r="H15" s="5">
        <f t="shared" si="0"/>
        <v>0.60964912280701744</v>
      </c>
      <c r="I15" s="6">
        <f t="shared" si="0"/>
        <v>0.17135226418272345</v>
      </c>
    </row>
    <row r="16" spans="1:9" x14ac:dyDescent="0.25">
      <c r="A16" s="3">
        <v>226</v>
      </c>
      <c r="B16" s="3">
        <v>1</v>
      </c>
      <c r="C16" s="1">
        <v>0.58333333333333337</v>
      </c>
      <c r="D16" s="1">
        <v>0.5</v>
      </c>
      <c r="E16" s="1">
        <v>0.66666666666666663</v>
      </c>
      <c r="G16">
        <f>(C16-H16)/I16</f>
        <v>-0.15357713304343576</v>
      </c>
      <c r="H16" s="5">
        <f t="shared" si="0"/>
        <v>0.60964912280701744</v>
      </c>
      <c r="I16" s="6">
        <f t="shared" si="0"/>
        <v>0.17135226418272345</v>
      </c>
    </row>
    <row r="17" spans="1:9" x14ac:dyDescent="0.25">
      <c r="A17" s="3">
        <v>228</v>
      </c>
      <c r="B17" s="3">
        <v>1</v>
      </c>
      <c r="C17" s="1">
        <v>0.5</v>
      </c>
      <c r="D17" s="1">
        <v>0.5</v>
      </c>
      <c r="E17" s="1">
        <v>0.5</v>
      </c>
      <c r="G17">
        <f>(C17-H17)/I17</f>
        <v>-0.63990472101431839</v>
      </c>
      <c r="H17" s="5">
        <f t="shared" si="0"/>
        <v>0.60964912280701744</v>
      </c>
      <c r="I17" s="6">
        <f t="shared" si="0"/>
        <v>0.17135226418272345</v>
      </c>
    </row>
    <row r="18" spans="1:9" x14ac:dyDescent="0.25">
      <c r="A18" s="3">
        <v>229</v>
      </c>
      <c r="B18" s="3">
        <v>1</v>
      </c>
      <c r="C18" s="1">
        <v>0.41666666666666669</v>
      </c>
      <c r="D18" s="1">
        <v>0.66666666666666663</v>
      </c>
      <c r="E18" s="1">
        <v>0.16666666666666666</v>
      </c>
      <c r="G18">
        <f>(C18-H18)/I18</f>
        <v>-1.1262323089852009</v>
      </c>
      <c r="H18" s="5">
        <f t="shared" si="0"/>
        <v>0.60964912280701744</v>
      </c>
      <c r="I18" s="6">
        <f t="shared" si="0"/>
        <v>0.17135226418272345</v>
      </c>
    </row>
    <row r="19" spans="1:9" x14ac:dyDescent="0.25">
      <c r="A19" s="3">
        <v>230</v>
      </c>
      <c r="B19" s="3">
        <v>1</v>
      </c>
      <c r="C19" s="1">
        <v>0.5</v>
      </c>
      <c r="D19" s="1">
        <v>0.5</v>
      </c>
      <c r="E19" s="1">
        <v>0.5</v>
      </c>
      <c r="G19">
        <f>(C19-H19)/I19</f>
        <v>-0.63990472101431839</v>
      </c>
      <c r="H19" s="5">
        <f t="shared" si="0"/>
        <v>0.60964912280701744</v>
      </c>
      <c r="I19" s="6">
        <f t="shared" si="0"/>
        <v>0.17135226418272345</v>
      </c>
    </row>
    <row r="20" spans="1:9" x14ac:dyDescent="0.25">
      <c r="A20" s="9">
        <v>254</v>
      </c>
      <c r="B20" s="9">
        <v>1</v>
      </c>
      <c r="C20" s="13">
        <v>0.41666666666666669</v>
      </c>
      <c r="D20" s="13">
        <v>0.5</v>
      </c>
      <c r="E20" s="13">
        <v>0.33333333333333331</v>
      </c>
      <c r="G20" s="10">
        <f>(C20-H20)/I20</f>
        <v>-1.1262323089852009</v>
      </c>
      <c r="H20" s="11">
        <f t="shared" ref="H20:I20" si="1">H19</f>
        <v>0.60964912280701744</v>
      </c>
      <c r="I20" s="12">
        <f t="shared" si="1"/>
        <v>0.17135226418272345</v>
      </c>
    </row>
    <row r="21" spans="1:9" x14ac:dyDescent="0.25">
      <c r="A21" s="3">
        <v>103</v>
      </c>
      <c r="B21" s="3">
        <v>2</v>
      </c>
      <c r="C21" s="1">
        <v>1</v>
      </c>
      <c r="D21" s="1">
        <v>1</v>
      </c>
      <c r="E21" s="1">
        <v>1</v>
      </c>
      <c r="G21">
        <f>(C21-H21)/I21</f>
        <v>1.6323822201698452</v>
      </c>
      <c r="H21" s="5">
        <f>AVERAGE(C21:C39)</f>
        <v>0.74561403508771928</v>
      </c>
      <c r="I21" s="6">
        <f>STDEV(C21:C39)</f>
        <v>0.15583725537381343</v>
      </c>
    </row>
    <row r="22" spans="1:9" x14ac:dyDescent="0.25">
      <c r="A22" s="3">
        <v>104</v>
      </c>
      <c r="B22" s="3">
        <v>2</v>
      </c>
      <c r="C22" s="1">
        <v>0.66666666666666663</v>
      </c>
      <c r="D22" s="1">
        <v>0.66666666666666663</v>
      </c>
      <c r="E22" s="1">
        <v>0.66666666666666663</v>
      </c>
      <c r="G22">
        <f>(C22-H22)/I22</f>
        <v>-0.50660137867340038</v>
      </c>
      <c r="H22" s="5">
        <f t="shared" ref="H22:I37" si="2">H21</f>
        <v>0.74561403508771928</v>
      </c>
      <c r="I22" s="6">
        <f t="shared" si="2"/>
        <v>0.15583725537381343</v>
      </c>
    </row>
    <row r="23" spans="1:9" x14ac:dyDescent="0.25">
      <c r="A23" s="3">
        <v>108</v>
      </c>
      <c r="B23" s="3">
        <v>2</v>
      </c>
      <c r="C23" s="1">
        <v>0.91666666666666663</v>
      </c>
      <c r="D23" s="1">
        <v>1</v>
      </c>
      <c r="E23" s="1">
        <v>0.83333333333333337</v>
      </c>
      <c r="G23">
        <f>(C23-H23)/I23</f>
        <v>1.0976363204590336</v>
      </c>
      <c r="H23" s="5">
        <f t="shared" si="2"/>
        <v>0.74561403508771928</v>
      </c>
      <c r="I23" s="6">
        <f t="shared" si="2"/>
        <v>0.15583725537381343</v>
      </c>
    </row>
    <row r="24" spans="1:9" x14ac:dyDescent="0.25">
      <c r="A24" s="3">
        <v>151</v>
      </c>
      <c r="B24" s="3">
        <v>2</v>
      </c>
      <c r="C24" s="1">
        <v>0.83333333333333337</v>
      </c>
      <c r="D24" s="1">
        <v>1</v>
      </c>
      <c r="E24" s="1">
        <v>0.66666666666666663</v>
      </c>
      <c r="G24">
        <f>(C24-H24)/I24</f>
        <v>0.56289042074822282</v>
      </c>
      <c r="H24" s="5">
        <f t="shared" si="2"/>
        <v>0.74561403508771928</v>
      </c>
      <c r="I24" s="6">
        <f t="shared" si="2"/>
        <v>0.15583725537381343</v>
      </c>
    </row>
    <row r="25" spans="1:9" x14ac:dyDescent="0.25">
      <c r="A25" s="3">
        <v>153</v>
      </c>
      <c r="B25" s="3">
        <v>2</v>
      </c>
      <c r="C25" s="1">
        <v>0.58333333333333337</v>
      </c>
      <c r="D25" s="1">
        <v>0.5</v>
      </c>
      <c r="E25" s="1">
        <v>0.66666666666666663</v>
      </c>
      <c r="G25">
        <f>(C25-H25)/I25</f>
        <v>-1.0413472783842113</v>
      </c>
      <c r="H25" s="5">
        <f t="shared" si="2"/>
        <v>0.74561403508771928</v>
      </c>
      <c r="I25" s="6">
        <f t="shared" si="2"/>
        <v>0.15583725537381343</v>
      </c>
    </row>
    <row r="26" spans="1:9" x14ac:dyDescent="0.25">
      <c r="A26" s="3">
        <v>154</v>
      </c>
      <c r="B26" s="3">
        <v>2</v>
      </c>
      <c r="C26" s="1">
        <v>0.66666666666666663</v>
      </c>
      <c r="D26" s="1">
        <v>0.66666666666666663</v>
      </c>
      <c r="E26" s="1">
        <v>0.66666666666666663</v>
      </c>
      <c r="G26">
        <f>(C26-H26)/I26</f>
        <v>-0.50660137867340038</v>
      </c>
      <c r="H26" s="5">
        <f t="shared" si="2"/>
        <v>0.74561403508771928</v>
      </c>
      <c r="I26" s="6">
        <f t="shared" si="2"/>
        <v>0.15583725537381343</v>
      </c>
    </row>
    <row r="27" spans="1:9" x14ac:dyDescent="0.25">
      <c r="A27" s="3">
        <v>201</v>
      </c>
      <c r="B27" s="3">
        <v>2</v>
      </c>
      <c r="C27" s="1">
        <v>0.91666666666666663</v>
      </c>
      <c r="D27" s="1">
        <v>0.83333333333333337</v>
      </c>
      <c r="E27" s="1">
        <v>1</v>
      </c>
      <c r="G27">
        <f>(C27-H27)/I27</f>
        <v>1.0976363204590336</v>
      </c>
      <c r="H27" s="5">
        <f t="shared" si="2"/>
        <v>0.74561403508771928</v>
      </c>
      <c r="I27" s="6">
        <f t="shared" si="2"/>
        <v>0.15583725537381343</v>
      </c>
    </row>
    <row r="28" spans="1:9" x14ac:dyDescent="0.25">
      <c r="A28" s="3">
        <v>202</v>
      </c>
      <c r="B28" s="3">
        <v>2</v>
      </c>
      <c r="C28" s="1">
        <v>0.91666666666666663</v>
      </c>
      <c r="D28" s="1">
        <v>0.83333333333333337</v>
      </c>
      <c r="E28" s="1">
        <v>1</v>
      </c>
      <c r="G28">
        <f>(C28-H28)/I28</f>
        <v>1.0976363204590336</v>
      </c>
      <c r="H28" s="5">
        <f t="shared" si="2"/>
        <v>0.74561403508771928</v>
      </c>
      <c r="I28" s="6">
        <f t="shared" si="2"/>
        <v>0.15583725537381343</v>
      </c>
    </row>
    <row r="29" spans="1:9" x14ac:dyDescent="0.25">
      <c r="A29" s="3">
        <v>203</v>
      </c>
      <c r="B29" s="3">
        <v>2</v>
      </c>
      <c r="C29" s="1">
        <v>0.83333333333333337</v>
      </c>
      <c r="D29" s="1">
        <v>0.83333333333333337</v>
      </c>
      <c r="E29" s="1">
        <v>0.83333333333333337</v>
      </c>
      <c r="G29">
        <f>(C29-H29)/I29</f>
        <v>0.56289042074822282</v>
      </c>
      <c r="H29" s="5">
        <f t="shared" si="2"/>
        <v>0.74561403508771928</v>
      </c>
      <c r="I29" s="6">
        <f t="shared" si="2"/>
        <v>0.15583725537381343</v>
      </c>
    </row>
    <row r="30" spans="1:9" x14ac:dyDescent="0.25">
      <c r="A30" s="3">
        <v>210</v>
      </c>
      <c r="B30" s="3">
        <v>2</v>
      </c>
      <c r="C30" s="1">
        <v>0.66666666666666663</v>
      </c>
      <c r="D30" s="1">
        <v>0.83333333333333337</v>
      </c>
      <c r="E30" s="1">
        <v>0.5</v>
      </c>
      <c r="G30">
        <f>(C30-H30)/I30</f>
        <v>-0.50660137867340038</v>
      </c>
      <c r="H30" s="5">
        <f t="shared" si="2"/>
        <v>0.74561403508771928</v>
      </c>
      <c r="I30" s="6">
        <f t="shared" si="2"/>
        <v>0.15583725537381343</v>
      </c>
    </row>
    <row r="31" spans="1:9" x14ac:dyDescent="0.25">
      <c r="A31" s="3">
        <v>213</v>
      </c>
      <c r="B31" s="3">
        <v>2</v>
      </c>
      <c r="C31" s="1">
        <v>0.91666666666666663</v>
      </c>
      <c r="D31" s="1">
        <v>1</v>
      </c>
      <c r="E31" s="1">
        <v>0.83333333333333337</v>
      </c>
      <c r="G31">
        <f>(C31-H31)/I31</f>
        <v>1.0976363204590336</v>
      </c>
      <c r="H31" s="5">
        <f t="shared" si="2"/>
        <v>0.74561403508771928</v>
      </c>
      <c r="I31" s="6">
        <f t="shared" si="2"/>
        <v>0.15583725537381343</v>
      </c>
    </row>
    <row r="32" spans="1:9" x14ac:dyDescent="0.25">
      <c r="A32" s="3">
        <v>220</v>
      </c>
      <c r="B32" s="3">
        <v>2</v>
      </c>
      <c r="C32" s="1">
        <v>0.75</v>
      </c>
      <c r="D32" s="1">
        <v>0.83333333333333337</v>
      </c>
      <c r="E32" s="1">
        <v>0.66666666666666663</v>
      </c>
      <c r="G32">
        <f>(C32-H32)/I32</f>
        <v>2.8144521037411212E-2</v>
      </c>
      <c r="H32" s="5">
        <f t="shared" si="2"/>
        <v>0.74561403508771928</v>
      </c>
      <c r="I32" s="6">
        <f t="shared" si="2"/>
        <v>0.15583725537381343</v>
      </c>
    </row>
    <row r="33" spans="1:9" x14ac:dyDescent="0.25">
      <c r="A33" s="3">
        <v>221</v>
      </c>
      <c r="B33" s="3">
        <v>2</v>
      </c>
      <c r="C33" s="1">
        <v>0.75</v>
      </c>
      <c r="D33" s="1">
        <v>1</v>
      </c>
      <c r="E33" s="1">
        <v>0.5</v>
      </c>
      <c r="G33">
        <f>(C33-H33)/I33</f>
        <v>2.8144521037411212E-2</v>
      </c>
      <c r="H33" s="5">
        <f t="shared" si="2"/>
        <v>0.74561403508771928</v>
      </c>
      <c r="I33" s="6">
        <f t="shared" si="2"/>
        <v>0.15583725537381343</v>
      </c>
    </row>
    <row r="34" spans="1:9" x14ac:dyDescent="0.25">
      <c r="A34" s="3">
        <v>225</v>
      </c>
      <c r="B34" s="3">
        <v>2</v>
      </c>
      <c r="C34" s="1">
        <v>0.41666666666666669</v>
      </c>
      <c r="D34" s="1">
        <v>0.5</v>
      </c>
      <c r="E34" s="1">
        <v>0.33333333333333331</v>
      </c>
      <c r="G34">
        <f>(C34-H34)/I34</f>
        <v>-2.1108390778058341</v>
      </c>
      <c r="H34" s="5">
        <f t="shared" si="2"/>
        <v>0.74561403508771928</v>
      </c>
      <c r="I34" s="6">
        <f t="shared" si="2"/>
        <v>0.15583725537381343</v>
      </c>
    </row>
    <row r="35" spans="1:9" x14ac:dyDescent="0.25">
      <c r="A35" s="3">
        <v>231</v>
      </c>
      <c r="B35" s="3">
        <v>2</v>
      </c>
      <c r="C35" s="1">
        <v>0.75</v>
      </c>
      <c r="D35" s="1">
        <v>0.66666666666666663</v>
      </c>
      <c r="E35" s="1">
        <v>0.83333333333333337</v>
      </c>
      <c r="G35">
        <f>(C35-H35)/I35</f>
        <v>2.8144521037411212E-2</v>
      </c>
      <c r="H35" s="5">
        <f t="shared" si="2"/>
        <v>0.74561403508771928</v>
      </c>
      <c r="I35" s="6">
        <f t="shared" si="2"/>
        <v>0.15583725537381343</v>
      </c>
    </row>
    <row r="36" spans="1:9" x14ac:dyDescent="0.25">
      <c r="A36" s="3">
        <v>251</v>
      </c>
      <c r="B36" s="3">
        <v>2</v>
      </c>
      <c r="C36" s="1">
        <v>0.75</v>
      </c>
      <c r="D36" s="1">
        <v>0.66666666666666663</v>
      </c>
      <c r="E36" s="1">
        <v>0.83333333333333337</v>
      </c>
      <c r="G36">
        <f>(C36-H36)/I36</f>
        <v>2.8144521037411212E-2</v>
      </c>
      <c r="H36" s="5">
        <f t="shared" si="2"/>
        <v>0.74561403508771928</v>
      </c>
      <c r="I36" s="6">
        <f t="shared" si="2"/>
        <v>0.15583725537381343</v>
      </c>
    </row>
    <row r="37" spans="1:9" x14ac:dyDescent="0.25">
      <c r="A37" s="3">
        <v>252</v>
      </c>
      <c r="B37" s="3">
        <v>2</v>
      </c>
      <c r="C37" s="1">
        <v>0.5</v>
      </c>
      <c r="D37" s="1">
        <v>0.66666666666666663</v>
      </c>
      <c r="E37" s="1">
        <v>0.33333333333333331</v>
      </c>
      <c r="G37">
        <f>(C37-H37)/I37</f>
        <v>-1.5760931780950229</v>
      </c>
      <c r="H37" s="5">
        <f t="shared" si="2"/>
        <v>0.74561403508771928</v>
      </c>
      <c r="I37" s="6">
        <f t="shared" si="2"/>
        <v>0.15583725537381343</v>
      </c>
    </row>
    <row r="38" spans="1:9" x14ac:dyDescent="0.25">
      <c r="A38" s="3">
        <v>255</v>
      </c>
      <c r="B38" s="3">
        <v>2</v>
      </c>
      <c r="C38" s="1">
        <v>0.75</v>
      </c>
      <c r="D38" s="1">
        <v>0.66666666666666663</v>
      </c>
      <c r="E38" s="1">
        <v>0.83333333333333337</v>
      </c>
      <c r="G38">
        <f>(C38-H38)/I38</f>
        <v>2.8144521037411212E-2</v>
      </c>
      <c r="H38" s="5">
        <f t="shared" ref="H38:I53" si="3">H37</f>
        <v>0.74561403508771928</v>
      </c>
      <c r="I38" s="6">
        <f t="shared" si="3"/>
        <v>0.15583725537381343</v>
      </c>
    </row>
    <row r="39" spans="1:9" x14ac:dyDescent="0.25">
      <c r="A39" s="9">
        <v>257</v>
      </c>
      <c r="B39" s="9">
        <v>2</v>
      </c>
      <c r="C39" s="13">
        <v>0.58333333333333337</v>
      </c>
      <c r="D39" s="13">
        <v>0.5</v>
      </c>
      <c r="E39" s="13">
        <v>0.66666666666666663</v>
      </c>
      <c r="G39" s="10">
        <f>(C39-H39)/I39</f>
        <v>-1.0413472783842113</v>
      </c>
      <c r="H39" s="11">
        <f t="shared" si="3"/>
        <v>0.74561403508771928</v>
      </c>
      <c r="I39" s="12">
        <f t="shared" si="3"/>
        <v>0.15583725537381343</v>
      </c>
    </row>
    <row r="40" spans="1:9" x14ac:dyDescent="0.25">
      <c r="A40" s="3">
        <v>101</v>
      </c>
      <c r="B40" s="3">
        <v>3</v>
      </c>
      <c r="C40" s="1">
        <v>0.83333333333333337</v>
      </c>
      <c r="D40" s="1">
        <v>0.83333333333333337</v>
      </c>
      <c r="E40" s="1">
        <v>0.83333333333333337</v>
      </c>
      <c r="G40">
        <f>(C40-H40)/I40</f>
        <v>0.89369151255606838</v>
      </c>
      <c r="H40" s="5">
        <f>AVERAGE(C40:C57)</f>
        <v>0.64814814814814814</v>
      </c>
      <c r="I40" s="6">
        <f>STDEV(C40:C57)</f>
        <v>0.20721376737206854</v>
      </c>
    </row>
    <row r="41" spans="1:9" x14ac:dyDescent="0.25">
      <c r="A41" s="3">
        <v>106</v>
      </c>
      <c r="B41" s="3">
        <v>3</v>
      </c>
      <c r="C41" s="1">
        <v>0.58333333333333337</v>
      </c>
      <c r="D41" s="1">
        <v>0.66666666666666663</v>
      </c>
      <c r="E41" s="1">
        <v>0.5</v>
      </c>
      <c r="G41">
        <f>(C41-H41)/I41</f>
        <v>-0.31279202939462364</v>
      </c>
      <c r="H41" s="5">
        <f t="shared" si="3"/>
        <v>0.64814814814814814</v>
      </c>
      <c r="I41" s="6">
        <f t="shared" si="3"/>
        <v>0.20721376737206854</v>
      </c>
    </row>
    <row r="42" spans="1:9" x14ac:dyDescent="0.25">
      <c r="A42" s="3">
        <v>107</v>
      </c>
      <c r="B42" s="3">
        <v>3</v>
      </c>
      <c r="C42" s="1">
        <v>0.66666666666666663</v>
      </c>
      <c r="D42" s="1">
        <v>1</v>
      </c>
      <c r="E42" s="1">
        <v>0.33333333333333331</v>
      </c>
      <c r="G42">
        <f>(C42-H42)/I42</f>
        <v>8.9369151255606682E-2</v>
      </c>
      <c r="H42" s="5">
        <f t="shared" si="3"/>
        <v>0.64814814814814814</v>
      </c>
      <c r="I42" s="6">
        <f t="shared" si="3"/>
        <v>0.20721376737206854</v>
      </c>
    </row>
    <row r="43" spans="1:9" x14ac:dyDescent="0.25">
      <c r="A43" s="3">
        <v>109</v>
      </c>
      <c r="B43" s="3">
        <v>3</v>
      </c>
      <c r="C43" s="1">
        <v>0.58333333333333337</v>
      </c>
      <c r="D43" s="1">
        <v>0.83333333333333337</v>
      </c>
      <c r="E43" s="1">
        <v>0.33333333333333331</v>
      </c>
      <c r="G43">
        <f>(C43-H43)/I43</f>
        <v>-0.31279202939462364</v>
      </c>
      <c r="H43" s="5">
        <f t="shared" si="3"/>
        <v>0.64814814814814814</v>
      </c>
      <c r="I43" s="6">
        <f t="shared" si="3"/>
        <v>0.20721376737206854</v>
      </c>
    </row>
    <row r="44" spans="1:9" x14ac:dyDescent="0.25">
      <c r="A44" s="3">
        <v>156</v>
      </c>
      <c r="B44" s="3">
        <v>3</v>
      </c>
      <c r="C44" s="1">
        <v>0.5</v>
      </c>
      <c r="D44" s="1">
        <v>0.33333333333333331</v>
      </c>
      <c r="E44" s="1">
        <v>0.66666666666666663</v>
      </c>
      <c r="G44">
        <f>(C44-H44)/I44</f>
        <v>-0.71495321004485457</v>
      </c>
      <c r="H44" s="5">
        <f t="shared" si="3"/>
        <v>0.64814814814814814</v>
      </c>
      <c r="I44" s="6">
        <f t="shared" si="3"/>
        <v>0.20721376737206854</v>
      </c>
    </row>
    <row r="45" spans="1:9" x14ac:dyDescent="0.25">
      <c r="A45" s="3">
        <v>204</v>
      </c>
      <c r="B45" s="3">
        <v>3</v>
      </c>
      <c r="C45" s="1">
        <v>0.58333333333333337</v>
      </c>
      <c r="D45" s="1">
        <v>0.66666666666666663</v>
      </c>
      <c r="E45" s="1">
        <v>0.5</v>
      </c>
      <c r="G45">
        <f>(C45-H45)/I45</f>
        <v>-0.31279202939462364</v>
      </c>
      <c r="H45" s="5">
        <f t="shared" si="3"/>
        <v>0.64814814814814814</v>
      </c>
      <c r="I45" s="6">
        <f t="shared" si="3"/>
        <v>0.20721376737206854</v>
      </c>
    </row>
    <row r="46" spans="1:9" x14ac:dyDescent="0.25">
      <c r="A46" s="3">
        <v>208</v>
      </c>
      <c r="B46" s="3">
        <v>3</v>
      </c>
      <c r="C46" s="1">
        <v>0.83333333333333337</v>
      </c>
      <c r="D46" s="1">
        <v>0.83333333333333337</v>
      </c>
      <c r="E46" s="1">
        <v>0.83333333333333337</v>
      </c>
      <c r="G46">
        <f>(C46-H46)/I46</f>
        <v>0.89369151255606838</v>
      </c>
      <c r="H46" s="5">
        <f t="shared" si="3"/>
        <v>0.64814814814814814</v>
      </c>
      <c r="I46" s="6">
        <f t="shared" si="3"/>
        <v>0.20721376737206854</v>
      </c>
    </row>
    <row r="47" spans="1:9" x14ac:dyDescent="0.25">
      <c r="A47" s="3">
        <v>209</v>
      </c>
      <c r="B47" s="3">
        <v>3</v>
      </c>
      <c r="C47" s="1">
        <v>0.5</v>
      </c>
      <c r="D47" s="1">
        <v>0.66666666666666663</v>
      </c>
      <c r="E47" s="1">
        <v>0.33333333333333331</v>
      </c>
      <c r="G47">
        <f>(C47-H47)/I47</f>
        <v>-0.71495321004485457</v>
      </c>
      <c r="H47" s="5">
        <f t="shared" si="3"/>
        <v>0.64814814814814814</v>
      </c>
      <c r="I47" s="6">
        <f t="shared" si="3"/>
        <v>0.20721376737206854</v>
      </c>
    </row>
    <row r="48" spans="1:9" x14ac:dyDescent="0.25">
      <c r="A48" s="3">
        <v>211</v>
      </c>
      <c r="B48" s="3">
        <v>3</v>
      </c>
      <c r="C48" s="1">
        <v>0.75</v>
      </c>
      <c r="D48" s="1">
        <v>0.66666666666666663</v>
      </c>
      <c r="E48" s="1">
        <v>0.83333333333333337</v>
      </c>
      <c r="G48">
        <f>(C48-H48)/I48</f>
        <v>0.49153033190583756</v>
      </c>
      <c r="H48" s="5">
        <f t="shared" si="3"/>
        <v>0.64814814814814814</v>
      </c>
      <c r="I48" s="6">
        <f t="shared" si="3"/>
        <v>0.20721376737206854</v>
      </c>
    </row>
    <row r="49" spans="1:9" x14ac:dyDescent="0.25">
      <c r="A49" s="3">
        <v>215</v>
      </c>
      <c r="B49" s="3">
        <v>3</v>
      </c>
      <c r="C49" s="1">
        <v>0.33333333333333331</v>
      </c>
      <c r="D49" s="1">
        <v>0.33333333333333331</v>
      </c>
      <c r="E49" s="1">
        <v>0.33333333333333331</v>
      </c>
      <c r="G49">
        <f>(C49-H49)/I49</f>
        <v>-1.5192755713453161</v>
      </c>
      <c r="H49" s="5">
        <f t="shared" si="3"/>
        <v>0.64814814814814814</v>
      </c>
      <c r="I49" s="6">
        <f t="shared" si="3"/>
        <v>0.20721376737206854</v>
      </c>
    </row>
    <row r="50" spans="1:9" x14ac:dyDescent="0.25">
      <c r="A50" s="3">
        <v>217</v>
      </c>
      <c r="B50" s="3">
        <v>3</v>
      </c>
      <c r="C50" s="1">
        <v>0.91666666666666663</v>
      </c>
      <c r="D50" s="1">
        <v>1</v>
      </c>
      <c r="E50" s="1">
        <v>0.83333333333333337</v>
      </c>
      <c r="G50">
        <f>(C50-H50)/I50</f>
        <v>1.2958526932062988</v>
      </c>
      <c r="H50" s="5">
        <f t="shared" si="3"/>
        <v>0.64814814814814814</v>
      </c>
      <c r="I50" s="6">
        <f t="shared" si="3"/>
        <v>0.20721376737206854</v>
      </c>
    </row>
    <row r="51" spans="1:9" x14ac:dyDescent="0.25">
      <c r="A51" s="3">
        <v>218</v>
      </c>
      <c r="B51" s="3">
        <v>3</v>
      </c>
      <c r="C51" s="1">
        <v>1</v>
      </c>
      <c r="D51" s="1">
        <v>1</v>
      </c>
      <c r="E51" s="1">
        <v>1</v>
      </c>
      <c r="G51">
        <f>(C51-H51)/I51</f>
        <v>1.6980138738565296</v>
      </c>
      <c r="H51" s="5">
        <f t="shared" si="3"/>
        <v>0.64814814814814814</v>
      </c>
      <c r="I51" s="6">
        <f t="shared" si="3"/>
        <v>0.20721376737206854</v>
      </c>
    </row>
    <row r="52" spans="1:9" x14ac:dyDescent="0.25">
      <c r="A52" s="3">
        <v>222</v>
      </c>
      <c r="B52" s="3">
        <v>3</v>
      </c>
      <c r="C52" s="1">
        <v>0.41666666666666669</v>
      </c>
      <c r="D52" s="1">
        <v>0.33333333333333331</v>
      </c>
      <c r="E52" s="1">
        <v>0.5</v>
      </c>
      <c r="G52">
        <f>(C52-H52)/I52</f>
        <v>-1.1171143906950851</v>
      </c>
      <c r="H52" s="5">
        <f t="shared" si="3"/>
        <v>0.64814814814814814</v>
      </c>
      <c r="I52" s="6">
        <f t="shared" si="3"/>
        <v>0.20721376737206854</v>
      </c>
    </row>
    <row r="53" spans="1:9" x14ac:dyDescent="0.25">
      <c r="A53" s="3">
        <v>223</v>
      </c>
      <c r="B53" s="3">
        <v>3</v>
      </c>
      <c r="C53" s="1">
        <v>0.91666666666666663</v>
      </c>
      <c r="D53" s="1">
        <v>1</v>
      </c>
      <c r="E53" s="1">
        <v>0.83333333333333337</v>
      </c>
      <c r="G53">
        <f>(C53-H53)/I53</f>
        <v>1.2958526932062988</v>
      </c>
      <c r="H53" s="5">
        <f t="shared" si="3"/>
        <v>0.64814814814814814</v>
      </c>
      <c r="I53" s="6">
        <f t="shared" si="3"/>
        <v>0.20721376737206854</v>
      </c>
    </row>
    <row r="54" spans="1:9" x14ac:dyDescent="0.25">
      <c r="A54" s="3">
        <v>227</v>
      </c>
      <c r="B54" s="3">
        <v>3</v>
      </c>
      <c r="C54" s="1">
        <v>0.41666666666666669</v>
      </c>
      <c r="D54" s="1">
        <v>0.5</v>
      </c>
      <c r="E54" s="1">
        <v>0.33333333333333331</v>
      </c>
      <c r="G54">
        <f>(C54-H54)/I54</f>
        <v>-1.1171143906950851</v>
      </c>
      <c r="H54" s="5">
        <f t="shared" ref="H54:I57" si="4">H53</f>
        <v>0.64814814814814814</v>
      </c>
      <c r="I54" s="6">
        <f t="shared" si="4"/>
        <v>0.20721376737206854</v>
      </c>
    </row>
    <row r="55" spans="1:9" x14ac:dyDescent="0.25">
      <c r="A55" s="3">
        <v>232</v>
      </c>
      <c r="B55" s="3">
        <v>3</v>
      </c>
      <c r="C55" s="1">
        <v>0.33333333333333331</v>
      </c>
      <c r="D55" s="1">
        <v>0.33333333333333331</v>
      </c>
      <c r="E55" s="1">
        <v>0.33333333333333331</v>
      </c>
      <c r="G55">
        <f>(C55-H55)/I55</f>
        <v>-1.5192755713453161</v>
      </c>
      <c r="H55" s="5">
        <f t="shared" si="4"/>
        <v>0.64814814814814814</v>
      </c>
      <c r="I55" s="6">
        <f t="shared" si="4"/>
        <v>0.20721376737206854</v>
      </c>
    </row>
    <row r="56" spans="1:9" x14ac:dyDescent="0.25">
      <c r="A56" s="3">
        <v>253</v>
      </c>
      <c r="B56" s="3">
        <v>3</v>
      </c>
      <c r="C56" s="1">
        <v>0.75</v>
      </c>
      <c r="D56" s="1">
        <v>1</v>
      </c>
      <c r="E56" s="1">
        <v>0.5</v>
      </c>
      <c r="G56">
        <f>(C56-H56)/I56</f>
        <v>0.49153033190583756</v>
      </c>
      <c r="H56" s="5">
        <f t="shared" si="4"/>
        <v>0.64814814814814814</v>
      </c>
      <c r="I56" s="6">
        <f t="shared" si="4"/>
        <v>0.20721376737206854</v>
      </c>
    </row>
    <row r="57" spans="1:9" x14ac:dyDescent="0.25">
      <c r="A57" s="3">
        <v>256</v>
      </c>
      <c r="B57" s="3">
        <v>3</v>
      </c>
      <c r="C57" s="1">
        <v>0.75</v>
      </c>
      <c r="D57" s="1">
        <v>0.66666666666666663</v>
      </c>
      <c r="E57" s="1">
        <v>0.83333333333333337</v>
      </c>
      <c r="G57">
        <f>(C57-H57)/I57</f>
        <v>0.49153033190583756</v>
      </c>
      <c r="H57" s="5">
        <f t="shared" si="4"/>
        <v>0.64814814814814814</v>
      </c>
      <c r="I57" s="6">
        <f t="shared" si="4"/>
        <v>0.20721376737206854</v>
      </c>
    </row>
  </sheetData>
  <conditionalFormatting sqref="G2:G57">
    <cfRule type="cellIs" dxfId="0" priority="1" operator="lessThanOr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T1</vt:lpstr>
      <vt:lpstr>T2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honore</dc:creator>
  <cp:lastModifiedBy>SIWS</cp:lastModifiedBy>
  <dcterms:created xsi:type="dcterms:W3CDTF">2013-04-17T12:55:13Z</dcterms:created>
  <dcterms:modified xsi:type="dcterms:W3CDTF">2016-09-28T08:14:21Z</dcterms:modified>
</cp:coreProperties>
</file>