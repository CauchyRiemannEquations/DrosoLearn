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T1" sheetId="68" r:id="rId1"/>
    <sheet name="T2" sheetId="69" r:id="rId2"/>
  </sheets>
  <calcPr calcId="145621"/>
</workbook>
</file>

<file path=xl/calcChain.xml><?xml version="1.0" encoding="utf-8"?>
<calcChain xmlns="http://schemas.openxmlformats.org/spreadsheetml/2006/main">
  <c r="O40" i="69" l="1"/>
  <c r="O41" i="69" s="1"/>
  <c r="O42" i="69" s="1"/>
  <c r="O43" i="69" s="1"/>
  <c r="O44" i="69" s="1"/>
  <c r="O45" i="69" s="1"/>
  <c r="O46" i="69" s="1"/>
  <c r="O47" i="69" s="1"/>
  <c r="O48" i="69" s="1"/>
  <c r="O49" i="69" s="1"/>
  <c r="O50" i="69" s="1"/>
  <c r="O51" i="69" s="1"/>
  <c r="O52" i="69" s="1"/>
  <c r="O53" i="69" s="1"/>
  <c r="O54" i="69" s="1"/>
  <c r="O55" i="69" s="1"/>
  <c r="O56" i="69" s="1"/>
  <c r="O57" i="69" s="1"/>
  <c r="N40" i="69"/>
  <c r="N41" i="69" s="1"/>
  <c r="O21" i="69"/>
  <c r="O22" i="69" s="1"/>
  <c r="O23" i="69" s="1"/>
  <c r="O24" i="69" s="1"/>
  <c r="O25" i="69" s="1"/>
  <c r="O26" i="69" s="1"/>
  <c r="O27" i="69" s="1"/>
  <c r="O28" i="69" s="1"/>
  <c r="O29" i="69" s="1"/>
  <c r="O30" i="69" s="1"/>
  <c r="O31" i="69" s="1"/>
  <c r="O32" i="69" s="1"/>
  <c r="O33" i="69" s="1"/>
  <c r="O34" i="69" s="1"/>
  <c r="O35" i="69" s="1"/>
  <c r="O36" i="69" s="1"/>
  <c r="O37" i="69" s="1"/>
  <c r="O38" i="69" s="1"/>
  <c r="O39" i="69" s="1"/>
  <c r="N21" i="69"/>
  <c r="N22" i="69" s="1"/>
  <c r="O2" i="69"/>
  <c r="O3" i="69" s="1"/>
  <c r="O4" i="69" s="1"/>
  <c r="O5" i="69" s="1"/>
  <c r="O6" i="69" s="1"/>
  <c r="O7" i="69" s="1"/>
  <c r="O8" i="69" s="1"/>
  <c r="O9" i="69" s="1"/>
  <c r="O10" i="69" s="1"/>
  <c r="O11" i="69" s="1"/>
  <c r="O12" i="69" s="1"/>
  <c r="O13" i="69" s="1"/>
  <c r="O14" i="69" s="1"/>
  <c r="O15" i="69" s="1"/>
  <c r="O16" i="69" s="1"/>
  <c r="O17" i="69" s="1"/>
  <c r="O18" i="69" s="1"/>
  <c r="O19" i="69" s="1"/>
  <c r="O20" i="69" s="1"/>
  <c r="N2" i="69"/>
  <c r="N3" i="69" s="1"/>
  <c r="M41" i="68"/>
  <c r="M42" i="68"/>
  <c r="M43" i="68"/>
  <c r="M44" i="68"/>
  <c r="M45" i="68"/>
  <c r="M46" i="68"/>
  <c r="M47" i="68"/>
  <c r="M48" i="68"/>
  <c r="M49" i="68"/>
  <c r="M50" i="68"/>
  <c r="M51" i="68"/>
  <c r="M52" i="68"/>
  <c r="M53" i="68"/>
  <c r="M54" i="68"/>
  <c r="M55" i="68"/>
  <c r="M56" i="68"/>
  <c r="M57" i="68"/>
  <c r="M22" i="68"/>
  <c r="M23" i="68"/>
  <c r="M24" i="68"/>
  <c r="M25" i="68"/>
  <c r="M26" i="68"/>
  <c r="M27" i="68"/>
  <c r="M28" i="68"/>
  <c r="M29" i="68"/>
  <c r="M30" i="68"/>
  <c r="M31" i="68"/>
  <c r="M32" i="68"/>
  <c r="M33" i="68"/>
  <c r="M34" i="68"/>
  <c r="M35" i="68"/>
  <c r="M36" i="68"/>
  <c r="M37" i="68"/>
  <c r="M38" i="68"/>
  <c r="M39" i="68"/>
  <c r="M21" i="68"/>
  <c r="M40" i="68"/>
  <c r="O40" i="68"/>
  <c r="N40" i="68"/>
  <c r="O21" i="68"/>
  <c r="N21" i="68"/>
  <c r="M3" i="68"/>
  <c r="M4" i="68"/>
  <c r="M5" i="68"/>
  <c r="M6" i="68"/>
  <c r="M7" i="68"/>
  <c r="M8" i="68"/>
  <c r="M9" i="68"/>
  <c r="M10" i="68"/>
  <c r="M11" i="68"/>
  <c r="M12" i="68"/>
  <c r="M13" i="68"/>
  <c r="M14" i="68"/>
  <c r="M15" i="68"/>
  <c r="M16" i="68"/>
  <c r="M17" i="68"/>
  <c r="M18" i="68"/>
  <c r="M19" i="68"/>
  <c r="M20" i="68"/>
  <c r="O2" i="68"/>
  <c r="M2" i="68" s="1"/>
  <c r="N2" i="68"/>
  <c r="O42" i="68"/>
  <c r="O43" i="68" s="1"/>
  <c r="O44" i="68" s="1"/>
  <c r="O45" i="68" s="1"/>
  <c r="O46" i="68" s="1"/>
  <c r="O47" i="68" s="1"/>
  <c r="O48" i="68" s="1"/>
  <c r="O49" i="68" s="1"/>
  <c r="O50" i="68" s="1"/>
  <c r="O51" i="68" s="1"/>
  <c r="O52" i="68" s="1"/>
  <c r="O53" i="68" s="1"/>
  <c r="O54" i="68" s="1"/>
  <c r="O55" i="68" s="1"/>
  <c r="O56" i="68" s="1"/>
  <c r="O57" i="68" s="1"/>
  <c r="N42" i="68"/>
  <c r="O41" i="68"/>
  <c r="N41" i="68"/>
  <c r="O22" i="68"/>
  <c r="O23" i="68" s="1"/>
  <c r="O24" i="68" s="1"/>
  <c r="O25" i="68" s="1"/>
  <c r="O26" i="68" s="1"/>
  <c r="O27" i="68" s="1"/>
  <c r="O28" i="68" s="1"/>
  <c r="O29" i="68" s="1"/>
  <c r="O30" i="68" s="1"/>
  <c r="O31" i="68" s="1"/>
  <c r="O32" i="68" s="1"/>
  <c r="O33" i="68" s="1"/>
  <c r="O34" i="68" s="1"/>
  <c r="O35" i="68" s="1"/>
  <c r="O36" i="68" s="1"/>
  <c r="O37" i="68" s="1"/>
  <c r="O38" i="68" s="1"/>
  <c r="O39" i="68" s="1"/>
  <c r="N22" i="68"/>
  <c r="N23" i="69" l="1"/>
  <c r="M22" i="69"/>
  <c r="M3" i="69"/>
  <c r="N4" i="69"/>
  <c r="N42" i="69"/>
  <c r="M41" i="69"/>
  <c r="M2" i="69"/>
  <c r="M21" i="69"/>
  <c r="M40" i="69"/>
  <c r="O3" i="68"/>
  <c r="O4" i="68" s="1"/>
  <c r="O5" i="68" s="1"/>
  <c r="O6" i="68" s="1"/>
  <c r="O7" i="68" s="1"/>
  <c r="O8" i="68" s="1"/>
  <c r="O9" i="68" s="1"/>
  <c r="O10" i="68" s="1"/>
  <c r="O11" i="68" s="1"/>
  <c r="O12" i="68" s="1"/>
  <c r="O13" i="68" s="1"/>
  <c r="O14" i="68" s="1"/>
  <c r="O15" i="68" s="1"/>
  <c r="O16" i="68" s="1"/>
  <c r="O17" i="68" s="1"/>
  <c r="O18" i="68" s="1"/>
  <c r="O19" i="68" s="1"/>
  <c r="O20" i="68" s="1"/>
  <c r="N23" i="68"/>
  <c r="N3" i="68"/>
  <c r="N43" i="68"/>
  <c r="N43" i="69" l="1"/>
  <c r="M42" i="69"/>
  <c r="N24" i="69"/>
  <c r="M23" i="69"/>
  <c r="N5" i="69"/>
  <c r="M4" i="69"/>
  <c r="N4" i="68"/>
  <c r="N44" i="68"/>
  <c r="N24" i="68"/>
  <c r="N6" i="69" l="1"/>
  <c r="M5" i="69"/>
  <c r="M43" i="69"/>
  <c r="N44" i="69"/>
  <c r="N25" i="69"/>
  <c r="M24" i="69"/>
  <c r="N25" i="68"/>
  <c r="N5" i="68"/>
  <c r="N45" i="68"/>
  <c r="N45" i="69" l="1"/>
  <c r="M44" i="69"/>
  <c r="N26" i="69"/>
  <c r="M25" i="69"/>
  <c r="N7" i="69"/>
  <c r="M6" i="69"/>
  <c r="N6" i="68"/>
  <c r="N26" i="68"/>
  <c r="N46" i="68"/>
  <c r="N27" i="69" l="1"/>
  <c r="M26" i="69"/>
  <c r="M7" i="69"/>
  <c r="N8" i="69"/>
  <c r="N46" i="69"/>
  <c r="M45" i="69"/>
  <c r="N27" i="68"/>
  <c r="N47" i="68"/>
  <c r="N7" i="68"/>
  <c r="N9" i="69" l="1"/>
  <c r="M8" i="69"/>
  <c r="N47" i="69"/>
  <c r="M46" i="69"/>
  <c r="N28" i="69"/>
  <c r="M27" i="69"/>
  <c r="N8" i="68"/>
  <c r="N28" i="68"/>
  <c r="N48" i="68"/>
  <c r="M47" i="69" l="1"/>
  <c r="N48" i="69"/>
  <c r="N29" i="69"/>
  <c r="M28" i="69"/>
  <c r="N10" i="69"/>
  <c r="M9" i="69"/>
  <c r="N49" i="68"/>
  <c r="N9" i="68"/>
  <c r="N29" i="68"/>
  <c r="N11" i="69" l="1"/>
  <c r="M10" i="69"/>
  <c r="N30" i="69"/>
  <c r="M29" i="69"/>
  <c r="N49" i="69"/>
  <c r="M48" i="69"/>
  <c r="N50" i="68"/>
  <c r="N10" i="68"/>
  <c r="N30" i="68"/>
  <c r="N31" i="69" l="1"/>
  <c r="M30" i="69"/>
  <c r="N50" i="69"/>
  <c r="M49" i="69"/>
  <c r="N12" i="69"/>
  <c r="M11" i="69"/>
  <c r="N31" i="68"/>
  <c r="N51" i="68"/>
  <c r="N11" i="68"/>
  <c r="N51" i="69" l="1"/>
  <c r="M50" i="69"/>
  <c r="M12" i="69"/>
  <c r="N13" i="69"/>
  <c r="N32" i="69"/>
  <c r="M31" i="69"/>
  <c r="N52" i="68"/>
  <c r="N12" i="68"/>
  <c r="N32" i="68"/>
  <c r="N33" i="69" l="1"/>
  <c r="M32" i="69"/>
  <c r="N52" i="69"/>
  <c r="M51" i="69"/>
  <c r="N14" i="69"/>
  <c r="M13" i="69"/>
  <c r="N13" i="68"/>
  <c r="N33" i="68"/>
  <c r="N53" i="68"/>
  <c r="N53" i="69" l="1"/>
  <c r="M52" i="69"/>
  <c r="N15" i="69"/>
  <c r="M14" i="69"/>
  <c r="N34" i="69"/>
  <c r="M33" i="69"/>
  <c r="N54" i="68"/>
  <c r="N14" i="68"/>
  <c r="N34" i="68"/>
  <c r="N16" i="69" l="1"/>
  <c r="M15" i="69"/>
  <c r="N35" i="69"/>
  <c r="M34" i="69"/>
  <c r="N54" i="69"/>
  <c r="M53" i="69"/>
  <c r="N35" i="68"/>
  <c r="N55" i="68"/>
  <c r="N15" i="68"/>
  <c r="N36" i="69" l="1"/>
  <c r="M35" i="69"/>
  <c r="N55" i="69"/>
  <c r="M54" i="69"/>
  <c r="N17" i="69"/>
  <c r="M16" i="69"/>
  <c r="N16" i="68"/>
  <c r="N36" i="68"/>
  <c r="N56" i="68"/>
  <c r="M55" i="69" l="1"/>
  <c r="N56" i="69"/>
  <c r="N18" i="69"/>
  <c r="M17" i="69"/>
  <c r="N37" i="69"/>
  <c r="M36" i="69"/>
  <c r="N37" i="68"/>
  <c r="N57" i="68"/>
  <c r="N17" i="68"/>
  <c r="N19" i="69" l="1"/>
  <c r="M18" i="69"/>
  <c r="N57" i="69"/>
  <c r="M57" i="69" s="1"/>
  <c r="M56" i="69"/>
  <c r="N38" i="69"/>
  <c r="M37" i="69"/>
  <c r="N18" i="68"/>
  <c r="N38" i="68"/>
  <c r="N39" i="69" l="1"/>
  <c r="M39" i="69" s="1"/>
  <c r="M38" i="69"/>
  <c r="N20" i="69"/>
  <c r="M20" i="69" s="1"/>
  <c r="M19" i="69"/>
  <c r="N39" i="68"/>
  <c r="N19" i="68"/>
  <c r="N20" i="68" l="1"/>
</calcChain>
</file>

<file path=xl/sharedStrings.xml><?xml version="1.0" encoding="utf-8"?>
<sst xmlns="http://schemas.openxmlformats.org/spreadsheetml/2006/main" count="28" uniqueCount="14">
  <si>
    <t>Sujet</t>
  </si>
  <si>
    <t>ECART-TYPE</t>
  </si>
  <si>
    <t>MOYENNE</t>
  </si>
  <si>
    <t>Z-SCORE</t>
  </si>
  <si>
    <t>1/2 A</t>
  </si>
  <si>
    <t>2/3 A</t>
  </si>
  <si>
    <t>1/2 B</t>
  </si>
  <si>
    <t>2/3 B</t>
  </si>
  <si>
    <t>3/4 A</t>
  </si>
  <si>
    <t>3/4 B</t>
  </si>
  <si>
    <t>4/5 A</t>
  </si>
  <si>
    <t>4/5 B</t>
  </si>
  <si>
    <t>Groupe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</si>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</sst>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9" fontId="4" fillId="2" borderId="1" xfId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2">
    <cellStyle name="Normal" xfId="0" builtinId="0"/>
    <cellStyle name="Pourcentage" xfId="1" builtinId="5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tabSelected="1" workbookViewId="0"/>
  </sheetViews>
  <sheetFormatPr baseColWidth="10" defaultRowHeight="15" x14ac:dyDescent="0.25"/>
  <sheetData>
    <row r="1" spans="1:15" ht="15.75" x14ac:dyDescent="0.25">
      <c r="A1" s="3" t="s">
        <v>0</v>
      </c>
      <c r="B1" s="3" t="s">
        <v>12</v>
      </c>
      <c r="C1" s="3" t="s">
        <v>13</v>
      </c>
      <c r="D1" s="3" t="s">
        <v>4</v>
      </c>
      <c r="E1" s="3" t="s">
        <v>6</v>
      </c>
      <c r="F1" s="3" t="s">
        <v>5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M1" s="3" t="s">
        <v>3</v>
      </c>
      <c r="N1" s="5" t="s">
        <v>2</v>
      </c>
      <c r="O1" s="5" t="s">
        <v>1</v>
      </c>
    </row>
    <row r="2" spans="1:15" x14ac:dyDescent="0.25">
      <c r="A2" s="4">
        <v>102</v>
      </c>
      <c r="B2" s="4">
        <v>1</v>
      </c>
      <c r="C2" s="2">
        <v>0.6875</v>
      </c>
      <c r="D2" s="2">
        <v>1</v>
      </c>
      <c r="E2" s="1">
        <v>0.75</v>
      </c>
      <c r="F2" s="1">
        <v>1</v>
      </c>
      <c r="G2" s="1">
        <v>0.5</v>
      </c>
      <c r="H2" s="1">
        <v>0.75</v>
      </c>
      <c r="I2" s="1">
        <v>0.5</v>
      </c>
      <c r="J2" s="1">
        <v>1</v>
      </c>
      <c r="K2" s="1">
        <v>0</v>
      </c>
      <c r="M2">
        <f>(C2-N2)/O2</f>
        <v>0.79015527227042104</v>
      </c>
      <c r="N2" s="6">
        <f>AVERAGE(C2:C20)</f>
        <v>0.50328947368421051</v>
      </c>
      <c r="O2" s="5">
        <f>STDEV(C2:C20)</f>
        <v>0.23313205996396325</v>
      </c>
    </row>
    <row r="3" spans="1:15" x14ac:dyDescent="0.25">
      <c r="A3" s="4">
        <v>105</v>
      </c>
      <c r="B3" s="4">
        <v>1</v>
      </c>
      <c r="C3" s="2">
        <v>0.5625</v>
      </c>
      <c r="D3" s="2">
        <v>0.75</v>
      </c>
      <c r="E3" s="1">
        <v>1</v>
      </c>
      <c r="F3" s="1">
        <v>1</v>
      </c>
      <c r="G3" s="1">
        <v>0.25</v>
      </c>
      <c r="H3" s="1">
        <v>0.5</v>
      </c>
      <c r="I3" s="1">
        <v>0.25</v>
      </c>
      <c r="J3" s="1">
        <v>0.5</v>
      </c>
      <c r="K3" s="1">
        <v>0.25</v>
      </c>
      <c r="M3">
        <f t="shared" ref="M3:M20" si="0">(C3-N3)/O3</f>
        <v>0.25397848037263537</v>
      </c>
      <c r="N3" s="6">
        <f>N2</f>
        <v>0.50328947368421051</v>
      </c>
      <c r="O3" s="5">
        <f>O2</f>
        <v>0.23313205996396325</v>
      </c>
    </row>
    <row r="4" spans="1:15" x14ac:dyDescent="0.25">
      <c r="A4" s="4">
        <v>110</v>
      </c>
      <c r="B4" s="4">
        <v>1</v>
      </c>
      <c r="C4" s="2">
        <v>0.3125</v>
      </c>
      <c r="D4" s="2">
        <v>0.5</v>
      </c>
      <c r="E4" s="1">
        <v>0.25</v>
      </c>
      <c r="F4" s="1">
        <v>0</v>
      </c>
      <c r="G4" s="1">
        <v>0.75</v>
      </c>
      <c r="H4" s="1">
        <v>0</v>
      </c>
      <c r="I4" s="1">
        <v>0.25</v>
      </c>
      <c r="J4" s="1">
        <v>0.25</v>
      </c>
      <c r="K4" s="1">
        <v>0.5</v>
      </c>
      <c r="M4">
        <f t="shared" si="0"/>
        <v>-0.81837510342293585</v>
      </c>
      <c r="N4" s="6">
        <f t="shared" ref="N4:O19" si="1">N3</f>
        <v>0.50328947368421051</v>
      </c>
      <c r="O4" s="5">
        <f t="shared" si="1"/>
        <v>0.23313205996396325</v>
      </c>
    </row>
    <row r="5" spans="1:15" x14ac:dyDescent="0.25">
      <c r="A5" s="4">
        <v>111</v>
      </c>
      <c r="B5" s="4">
        <v>1</v>
      </c>
      <c r="C5" s="2">
        <v>0.34375</v>
      </c>
      <c r="D5" s="2">
        <v>0.25</v>
      </c>
      <c r="E5" s="1">
        <v>0.5</v>
      </c>
      <c r="F5" s="1">
        <v>0.25</v>
      </c>
      <c r="G5" s="1">
        <v>0.75</v>
      </c>
      <c r="H5" s="1">
        <v>0.25</v>
      </c>
      <c r="I5" s="1">
        <v>0.25</v>
      </c>
      <c r="J5" s="1">
        <v>0</v>
      </c>
      <c r="K5" s="1">
        <v>0.5</v>
      </c>
      <c r="M5">
        <f t="shared" si="0"/>
        <v>-0.68433090544848951</v>
      </c>
      <c r="N5" s="6">
        <f t="shared" si="1"/>
        <v>0.50328947368421051</v>
      </c>
      <c r="O5" s="5">
        <f t="shared" si="1"/>
        <v>0.23313205996396325</v>
      </c>
    </row>
    <row r="6" spans="1:15" x14ac:dyDescent="0.25">
      <c r="A6" s="4">
        <v>152</v>
      </c>
      <c r="B6" s="4">
        <v>1</v>
      </c>
      <c r="C6" s="2">
        <v>0.375</v>
      </c>
      <c r="D6" s="2">
        <v>0.25</v>
      </c>
      <c r="E6" s="1">
        <v>0</v>
      </c>
      <c r="F6" s="1">
        <v>0.25</v>
      </c>
      <c r="G6" s="1">
        <v>0.5</v>
      </c>
      <c r="H6" s="1">
        <v>0.5</v>
      </c>
      <c r="I6" s="1">
        <v>0.5</v>
      </c>
      <c r="J6" s="1">
        <v>0.25</v>
      </c>
      <c r="K6" s="1">
        <v>0.75</v>
      </c>
      <c r="M6">
        <f t="shared" si="0"/>
        <v>-0.55028670747404307</v>
      </c>
      <c r="N6" s="6">
        <f t="shared" si="1"/>
        <v>0.50328947368421051</v>
      </c>
      <c r="O6" s="5">
        <f t="shared" si="1"/>
        <v>0.23313205996396325</v>
      </c>
    </row>
    <row r="7" spans="1:15" x14ac:dyDescent="0.25">
      <c r="A7" s="4">
        <v>155</v>
      </c>
      <c r="B7" s="4">
        <v>1</v>
      </c>
      <c r="C7" s="2">
        <v>0.8125</v>
      </c>
      <c r="D7" s="2">
        <v>1</v>
      </c>
      <c r="E7" s="1">
        <v>0.75</v>
      </c>
      <c r="F7" s="1">
        <v>0.75</v>
      </c>
      <c r="G7" s="1">
        <v>1</v>
      </c>
      <c r="H7" s="1">
        <v>1</v>
      </c>
      <c r="I7" s="1">
        <v>0.5</v>
      </c>
      <c r="J7" s="1">
        <v>1</v>
      </c>
      <c r="K7" s="1">
        <v>0.5</v>
      </c>
      <c r="M7">
        <f t="shared" si="0"/>
        <v>1.3263320641682066</v>
      </c>
      <c r="N7" s="6">
        <f t="shared" si="1"/>
        <v>0.50328947368421051</v>
      </c>
      <c r="O7" s="5">
        <f t="shared" si="1"/>
        <v>0.23313205996396325</v>
      </c>
    </row>
    <row r="8" spans="1:15" x14ac:dyDescent="0.25">
      <c r="A8" s="4">
        <v>205</v>
      </c>
      <c r="B8" s="4">
        <v>1</v>
      </c>
      <c r="C8" s="2">
        <v>0.125</v>
      </c>
      <c r="D8" s="2">
        <v>0</v>
      </c>
      <c r="E8" s="1">
        <v>0</v>
      </c>
      <c r="F8" s="1">
        <v>0</v>
      </c>
      <c r="G8" s="1">
        <v>0.5</v>
      </c>
      <c r="H8" s="1">
        <v>0</v>
      </c>
      <c r="I8" s="1">
        <v>0.5</v>
      </c>
      <c r="J8" s="1">
        <v>0</v>
      </c>
      <c r="K8" s="1">
        <v>0</v>
      </c>
      <c r="M8">
        <f t="shared" si="0"/>
        <v>-1.6226402912696143</v>
      </c>
      <c r="N8" s="6">
        <f t="shared" si="1"/>
        <v>0.50328947368421051</v>
      </c>
      <c r="O8" s="5">
        <f t="shared" si="1"/>
        <v>0.23313205996396325</v>
      </c>
    </row>
    <row r="9" spans="1:15" x14ac:dyDescent="0.25">
      <c r="A9" s="4">
        <v>206</v>
      </c>
      <c r="B9" s="4">
        <v>1</v>
      </c>
      <c r="C9" s="2">
        <v>0.8125</v>
      </c>
      <c r="D9" s="2">
        <v>1</v>
      </c>
      <c r="E9" s="1">
        <v>0.75</v>
      </c>
      <c r="F9" s="1">
        <v>1</v>
      </c>
      <c r="G9" s="1">
        <v>0.75</v>
      </c>
      <c r="H9" s="1">
        <v>1</v>
      </c>
      <c r="I9" s="1">
        <v>0.5</v>
      </c>
      <c r="J9" s="1">
        <v>1</v>
      </c>
      <c r="K9" s="1">
        <v>0.5</v>
      </c>
      <c r="M9">
        <f t="shared" si="0"/>
        <v>1.3263320641682066</v>
      </c>
      <c r="N9" s="6">
        <f t="shared" si="1"/>
        <v>0.50328947368421051</v>
      </c>
      <c r="O9" s="5">
        <f t="shared" si="1"/>
        <v>0.23313205996396325</v>
      </c>
    </row>
    <row r="10" spans="1:15" x14ac:dyDescent="0.25">
      <c r="A10" s="4">
        <v>207</v>
      </c>
      <c r="B10" s="4">
        <v>1</v>
      </c>
      <c r="C10" s="2">
        <v>0.59375</v>
      </c>
      <c r="D10" s="2">
        <v>0.5</v>
      </c>
      <c r="E10" s="1">
        <v>0.25</v>
      </c>
      <c r="F10" s="1">
        <v>1</v>
      </c>
      <c r="G10" s="1">
        <v>0.25</v>
      </c>
      <c r="H10" s="1">
        <v>1</v>
      </c>
      <c r="I10" s="1">
        <v>0.25</v>
      </c>
      <c r="J10" s="1">
        <v>1</v>
      </c>
      <c r="K10" s="1">
        <v>0.5</v>
      </c>
      <c r="M10">
        <f t="shared" si="0"/>
        <v>0.38802267834708176</v>
      </c>
      <c r="N10" s="6">
        <f t="shared" si="1"/>
        <v>0.50328947368421051</v>
      </c>
      <c r="O10" s="5">
        <f t="shared" si="1"/>
        <v>0.23313205996396325</v>
      </c>
    </row>
    <row r="11" spans="1:15" x14ac:dyDescent="0.25">
      <c r="A11" s="4">
        <v>212</v>
      </c>
      <c r="B11" s="4">
        <v>1</v>
      </c>
      <c r="C11" s="2">
        <v>0.34375</v>
      </c>
      <c r="D11" s="2">
        <v>0</v>
      </c>
      <c r="E11" s="1">
        <v>0.25</v>
      </c>
      <c r="F11" s="1">
        <v>0.25</v>
      </c>
      <c r="G11" s="1">
        <v>0.5</v>
      </c>
      <c r="H11" s="1">
        <v>0.25</v>
      </c>
      <c r="I11" s="1">
        <v>0.5</v>
      </c>
      <c r="J11" s="1">
        <v>0.5</v>
      </c>
      <c r="K11" s="1">
        <v>0.5</v>
      </c>
      <c r="M11">
        <f t="shared" si="0"/>
        <v>-0.68433090544848951</v>
      </c>
      <c r="N11" s="6">
        <f t="shared" si="1"/>
        <v>0.50328947368421051</v>
      </c>
      <c r="O11" s="5">
        <f t="shared" si="1"/>
        <v>0.23313205996396325</v>
      </c>
    </row>
    <row r="12" spans="1:15" x14ac:dyDescent="0.25">
      <c r="A12" s="4">
        <v>214</v>
      </c>
      <c r="B12" s="4">
        <v>1</v>
      </c>
      <c r="C12" s="2">
        <v>0.375</v>
      </c>
      <c r="D12" s="2">
        <v>0.5</v>
      </c>
      <c r="E12" s="1">
        <v>0.25</v>
      </c>
      <c r="F12" s="1">
        <v>0</v>
      </c>
      <c r="G12" s="1">
        <v>0.25</v>
      </c>
      <c r="H12" s="1">
        <v>0</v>
      </c>
      <c r="I12" s="1">
        <v>1</v>
      </c>
      <c r="J12" s="1">
        <v>0.25</v>
      </c>
      <c r="K12" s="1">
        <v>0.75</v>
      </c>
      <c r="M12">
        <f t="shared" si="0"/>
        <v>-0.55028670747404307</v>
      </c>
      <c r="N12" s="6">
        <f t="shared" si="1"/>
        <v>0.50328947368421051</v>
      </c>
      <c r="O12" s="5">
        <f t="shared" si="1"/>
        <v>0.23313205996396325</v>
      </c>
    </row>
    <row r="13" spans="1:15" x14ac:dyDescent="0.25">
      <c r="A13" s="4">
        <v>216</v>
      </c>
      <c r="B13" s="4">
        <v>1</v>
      </c>
      <c r="C13" s="2">
        <v>0.65625</v>
      </c>
      <c r="D13" s="2">
        <v>1</v>
      </c>
      <c r="E13" s="1">
        <v>0.5</v>
      </c>
      <c r="F13" s="1">
        <v>1</v>
      </c>
      <c r="G13" s="1">
        <v>0.25</v>
      </c>
      <c r="H13" s="1">
        <v>1</v>
      </c>
      <c r="I13" s="1">
        <v>0.25</v>
      </c>
      <c r="J13" s="1">
        <v>1</v>
      </c>
      <c r="K13" s="1">
        <v>0.25</v>
      </c>
      <c r="M13">
        <f t="shared" si="0"/>
        <v>0.65611107429597459</v>
      </c>
      <c r="N13" s="6">
        <f t="shared" si="1"/>
        <v>0.50328947368421051</v>
      </c>
      <c r="O13" s="5">
        <f t="shared" si="1"/>
        <v>0.23313205996396325</v>
      </c>
    </row>
    <row r="14" spans="1:15" x14ac:dyDescent="0.25">
      <c r="A14" s="4">
        <v>219</v>
      </c>
      <c r="B14" s="4">
        <v>1</v>
      </c>
      <c r="C14" s="2">
        <v>0.75</v>
      </c>
      <c r="D14" s="2">
        <v>1</v>
      </c>
      <c r="E14" s="1">
        <v>0.75</v>
      </c>
      <c r="F14" s="1">
        <v>0.75</v>
      </c>
      <c r="G14" s="1">
        <v>0.5</v>
      </c>
      <c r="H14" s="1">
        <v>1</v>
      </c>
      <c r="I14" s="1">
        <v>0.5</v>
      </c>
      <c r="J14" s="1">
        <v>1</v>
      </c>
      <c r="K14" s="1">
        <v>0.5</v>
      </c>
      <c r="M14">
        <f t="shared" si="0"/>
        <v>1.0582436682193137</v>
      </c>
      <c r="N14" s="6">
        <f t="shared" si="1"/>
        <v>0.50328947368421051</v>
      </c>
      <c r="O14" s="5">
        <f t="shared" si="1"/>
        <v>0.23313205996396325</v>
      </c>
    </row>
    <row r="15" spans="1:15" x14ac:dyDescent="0.25">
      <c r="A15" s="4">
        <v>224</v>
      </c>
      <c r="B15" s="4">
        <v>1</v>
      </c>
      <c r="C15" s="2">
        <v>0.25</v>
      </c>
      <c r="D15" s="2">
        <v>0</v>
      </c>
      <c r="E15" s="1">
        <v>0</v>
      </c>
      <c r="F15" s="1">
        <v>0</v>
      </c>
      <c r="G15" s="1">
        <v>0.5</v>
      </c>
      <c r="H15" s="1">
        <v>0</v>
      </c>
      <c r="I15" s="1">
        <v>0.75</v>
      </c>
      <c r="J15" s="1">
        <v>0.25</v>
      </c>
      <c r="K15" s="1">
        <v>0.5</v>
      </c>
      <c r="M15">
        <f t="shared" si="0"/>
        <v>-1.0864634993718287</v>
      </c>
      <c r="N15" s="6">
        <f t="shared" si="1"/>
        <v>0.50328947368421051</v>
      </c>
      <c r="O15" s="5">
        <f t="shared" si="1"/>
        <v>0.23313205996396325</v>
      </c>
    </row>
    <row r="16" spans="1:15" x14ac:dyDescent="0.25">
      <c r="A16" s="4">
        <v>226</v>
      </c>
      <c r="B16" s="4">
        <v>1</v>
      </c>
      <c r="C16" s="2">
        <v>0.15625</v>
      </c>
      <c r="D16" s="2">
        <v>0</v>
      </c>
      <c r="E16" s="1">
        <v>0.25</v>
      </c>
      <c r="F16" s="1">
        <v>0</v>
      </c>
      <c r="G16" s="1">
        <v>0.25</v>
      </c>
      <c r="H16" s="1">
        <v>0</v>
      </c>
      <c r="I16" s="1">
        <v>0.25</v>
      </c>
      <c r="J16" s="1">
        <v>0</v>
      </c>
      <c r="K16" s="1">
        <v>0.5</v>
      </c>
      <c r="M16">
        <f t="shared" si="0"/>
        <v>-1.4885960932951678</v>
      </c>
      <c r="N16" s="6">
        <f t="shared" si="1"/>
        <v>0.50328947368421051</v>
      </c>
      <c r="O16" s="5">
        <f t="shared" si="1"/>
        <v>0.23313205996396325</v>
      </c>
    </row>
    <row r="17" spans="1:15" x14ac:dyDescent="0.25">
      <c r="A17" s="4">
        <v>228</v>
      </c>
      <c r="B17" s="4">
        <v>1</v>
      </c>
      <c r="C17" s="2">
        <v>0.8125</v>
      </c>
      <c r="D17" s="2">
        <v>1</v>
      </c>
      <c r="E17" s="1">
        <v>1</v>
      </c>
      <c r="F17" s="1">
        <v>0.75</v>
      </c>
      <c r="G17" s="1">
        <v>0.75</v>
      </c>
      <c r="H17" s="1">
        <v>1</v>
      </c>
      <c r="I17" s="1">
        <v>0.5</v>
      </c>
      <c r="J17" s="1">
        <v>1</v>
      </c>
      <c r="K17" s="1">
        <v>0.5</v>
      </c>
      <c r="M17">
        <f t="shared" si="0"/>
        <v>1.3263320641682066</v>
      </c>
      <c r="N17" s="6">
        <f t="shared" si="1"/>
        <v>0.50328947368421051</v>
      </c>
      <c r="O17" s="5">
        <f t="shared" si="1"/>
        <v>0.23313205996396325</v>
      </c>
    </row>
    <row r="18" spans="1:15" x14ac:dyDescent="0.25">
      <c r="A18" s="4">
        <v>229</v>
      </c>
      <c r="B18" s="4">
        <v>1</v>
      </c>
      <c r="C18" s="2">
        <v>0.75</v>
      </c>
      <c r="D18" s="2">
        <v>0.75</v>
      </c>
      <c r="E18" s="1">
        <v>0.75</v>
      </c>
      <c r="F18" s="1">
        <v>1</v>
      </c>
      <c r="G18" s="1">
        <v>0.5</v>
      </c>
      <c r="H18" s="1">
        <v>1</v>
      </c>
      <c r="I18" s="1">
        <v>0.5</v>
      </c>
      <c r="J18" s="1">
        <v>0.75</v>
      </c>
      <c r="K18" s="1">
        <v>0.75</v>
      </c>
      <c r="M18">
        <f t="shared" si="0"/>
        <v>1.0582436682193137</v>
      </c>
      <c r="N18" s="6">
        <f t="shared" si="1"/>
        <v>0.50328947368421051</v>
      </c>
      <c r="O18" s="5">
        <f t="shared" si="1"/>
        <v>0.23313205996396325</v>
      </c>
    </row>
    <row r="19" spans="1:15" x14ac:dyDescent="0.25">
      <c r="A19" s="4">
        <v>230</v>
      </c>
      <c r="B19" s="4">
        <v>1</v>
      </c>
      <c r="C19" s="2">
        <v>0.5625</v>
      </c>
      <c r="D19" s="2">
        <v>1</v>
      </c>
      <c r="E19" s="1">
        <v>0.25</v>
      </c>
      <c r="F19" s="1">
        <v>1</v>
      </c>
      <c r="G19" s="1">
        <v>0</v>
      </c>
      <c r="H19" s="1">
        <v>0.75</v>
      </c>
      <c r="I19" s="1">
        <v>0.5</v>
      </c>
      <c r="J19" s="1">
        <v>0.75</v>
      </c>
      <c r="K19" s="1">
        <v>0.25</v>
      </c>
      <c r="M19">
        <f t="shared" si="0"/>
        <v>0.25397848037263537</v>
      </c>
      <c r="N19" s="6">
        <f t="shared" si="1"/>
        <v>0.50328947368421051</v>
      </c>
      <c r="O19" s="5">
        <f t="shared" si="1"/>
        <v>0.23313205996396325</v>
      </c>
    </row>
    <row r="20" spans="1:15" x14ac:dyDescent="0.25">
      <c r="A20" s="7">
        <v>254</v>
      </c>
      <c r="B20" s="7">
        <v>1</v>
      </c>
      <c r="C20" s="12">
        <v>0.28125</v>
      </c>
      <c r="D20" s="12">
        <v>0.25</v>
      </c>
      <c r="E20" s="11">
        <v>0</v>
      </c>
      <c r="F20" s="11">
        <v>0.5</v>
      </c>
      <c r="G20" s="11">
        <v>0.25</v>
      </c>
      <c r="H20" s="11">
        <v>0.25</v>
      </c>
      <c r="I20" s="11">
        <v>0.25</v>
      </c>
      <c r="J20" s="11">
        <v>0.25</v>
      </c>
      <c r="K20" s="11">
        <v>0.5</v>
      </c>
      <c r="M20" s="8">
        <f t="shared" si="0"/>
        <v>-0.95241930139738229</v>
      </c>
      <c r="N20" s="9">
        <f t="shared" ref="N20:O35" si="2">N19</f>
        <v>0.50328947368421051</v>
      </c>
      <c r="O20" s="10">
        <f t="shared" si="2"/>
        <v>0.23313205996396325</v>
      </c>
    </row>
    <row r="21" spans="1:15" x14ac:dyDescent="0.25">
      <c r="A21" s="4">
        <v>103</v>
      </c>
      <c r="B21" s="4">
        <v>2</v>
      </c>
      <c r="C21" s="2">
        <v>0.28125</v>
      </c>
      <c r="D21" s="2">
        <v>0.25</v>
      </c>
      <c r="E21" s="1">
        <v>0.5</v>
      </c>
      <c r="F21" s="1">
        <v>0</v>
      </c>
      <c r="G21" s="1">
        <v>0</v>
      </c>
      <c r="H21" s="1">
        <v>0.25</v>
      </c>
      <c r="I21" s="1">
        <v>0.25</v>
      </c>
      <c r="J21" s="1">
        <v>0</v>
      </c>
      <c r="K21" s="1">
        <v>1</v>
      </c>
      <c r="M21">
        <f>(C21-N21)/O21</f>
        <v>-1.7128161228818595</v>
      </c>
      <c r="N21" s="6">
        <f>AVERAGE(C21:C39)</f>
        <v>0.58552631578947367</v>
      </c>
      <c r="O21" s="5">
        <f>STDEV(C21:C39)</f>
        <v>0.17764680733943614</v>
      </c>
    </row>
    <row r="22" spans="1:15" x14ac:dyDescent="0.25">
      <c r="A22" s="4">
        <v>104</v>
      </c>
      <c r="B22" s="4">
        <v>2</v>
      </c>
      <c r="C22" s="2">
        <v>0.84375</v>
      </c>
      <c r="D22" s="2">
        <v>0.75</v>
      </c>
      <c r="E22" s="1">
        <v>1</v>
      </c>
      <c r="F22" s="1">
        <v>1</v>
      </c>
      <c r="G22" s="1">
        <v>0.75</v>
      </c>
      <c r="H22" s="1">
        <v>0.75</v>
      </c>
      <c r="I22" s="1">
        <v>0.75</v>
      </c>
      <c r="J22" s="1">
        <v>1</v>
      </c>
      <c r="K22" s="1">
        <v>0.75</v>
      </c>
      <c r="M22">
        <f t="shared" ref="M22:M39" si="3">(C22-N22)/O22</f>
        <v>1.4535790880673078</v>
      </c>
      <c r="N22" s="6">
        <f t="shared" si="2"/>
        <v>0.58552631578947367</v>
      </c>
      <c r="O22" s="5">
        <f t="shared" si="2"/>
        <v>0.17764680733943614</v>
      </c>
    </row>
    <row r="23" spans="1:15" x14ac:dyDescent="0.25">
      <c r="A23" s="4">
        <v>108</v>
      </c>
      <c r="B23" s="4">
        <v>2</v>
      </c>
      <c r="C23" s="2">
        <v>0.34375</v>
      </c>
      <c r="D23" s="2">
        <v>0</v>
      </c>
      <c r="E23" s="1">
        <v>0.25</v>
      </c>
      <c r="F23" s="1">
        <v>0.5</v>
      </c>
      <c r="G23" s="1">
        <v>0.25</v>
      </c>
      <c r="H23" s="1">
        <v>0.25</v>
      </c>
      <c r="I23" s="1">
        <v>0.75</v>
      </c>
      <c r="J23" s="1">
        <v>0</v>
      </c>
      <c r="K23" s="1">
        <v>0.75</v>
      </c>
      <c r="M23">
        <f t="shared" si="3"/>
        <v>-1.3609944327763965</v>
      </c>
      <c r="N23" s="6">
        <f t="shared" si="2"/>
        <v>0.58552631578947367</v>
      </c>
      <c r="O23" s="5">
        <f t="shared" si="2"/>
        <v>0.17764680733943614</v>
      </c>
    </row>
    <row r="24" spans="1:15" x14ac:dyDescent="0.25">
      <c r="A24" s="4">
        <v>151</v>
      </c>
      <c r="B24" s="4">
        <v>2</v>
      </c>
      <c r="C24" s="2">
        <v>0.8125</v>
      </c>
      <c r="D24" s="2">
        <v>1</v>
      </c>
      <c r="E24" s="1">
        <v>1</v>
      </c>
      <c r="F24" s="1">
        <v>1</v>
      </c>
      <c r="G24" s="1">
        <v>1</v>
      </c>
      <c r="H24" s="1">
        <v>1</v>
      </c>
      <c r="I24" s="1">
        <v>0.5</v>
      </c>
      <c r="J24" s="1">
        <v>1</v>
      </c>
      <c r="K24" s="1">
        <v>0</v>
      </c>
      <c r="M24">
        <f t="shared" si="3"/>
        <v>1.2776682430145765</v>
      </c>
      <c r="N24" s="6">
        <f t="shared" si="2"/>
        <v>0.58552631578947367</v>
      </c>
      <c r="O24" s="5">
        <f t="shared" si="2"/>
        <v>0.17764680733943614</v>
      </c>
    </row>
    <row r="25" spans="1:15" x14ac:dyDescent="0.25">
      <c r="A25" s="4">
        <v>153</v>
      </c>
      <c r="B25" s="4">
        <v>2</v>
      </c>
      <c r="C25" s="2">
        <v>0.6875</v>
      </c>
      <c r="D25" s="2">
        <v>0.75</v>
      </c>
      <c r="E25" s="1">
        <v>0.5</v>
      </c>
      <c r="F25" s="1">
        <v>0.75</v>
      </c>
      <c r="G25" s="1">
        <v>0.25</v>
      </c>
      <c r="H25" s="1">
        <v>1</v>
      </c>
      <c r="I25" s="1">
        <v>0.75</v>
      </c>
      <c r="J25" s="1">
        <v>0.75</v>
      </c>
      <c r="K25" s="1">
        <v>0.75</v>
      </c>
      <c r="M25">
        <f t="shared" si="3"/>
        <v>0.57402486280365028</v>
      </c>
      <c r="N25" s="6">
        <f t="shared" si="2"/>
        <v>0.58552631578947367</v>
      </c>
      <c r="O25" s="5">
        <f t="shared" si="2"/>
        <v>0.17764680733943614</v>
      </c>
    </row>
    <row r="26" spans="1:15" x14ac:dyDescent="0.25">
      <c r="A26" s="4">
        <v>154</v>
      </c>
      <c r="B26" s="4">
        <v>2</v>
      </c>
      <c r="C26" s="2">
        <v>0.59375</v>
      </c>
      <c r="D26" s="2">
        <v>0.75</v>
      </c>
      <c r="E26" s="1">
        <v>1</v>
      </c>
      <c r="F26" s="1">
        <v>0.5</v>
      </c>
      <c r="G26" s="1">
        <v>0.75</v>
      </c>
      <c r="H26" s="1">
        <v>0.25</v>
      </c>
      <c r="I26" s="1">
        <v>0.5</v>
      </c>
      <c r="J26" s="1">
        <v>0.5</v>
      </c>
      <c r="K26" s="1">
        <v>0.5</v>
      </c>
      <c r="M26">
        <f t="shared" si="3"/>
        <v>4.6292327645455732E-2</v>
      </c>
      <c r="N26" s="6">
        <f t="shared" si="2"/>
        <v>0.58552631578947367</v>
      </c>
      <c r="O26" s="5">
        <f t="shared" si="2"/>
        <v>0.17764680733943614</v>
      </c>
    </row>
    <row r="27" spans="1:15" x14ac:dyDescent="0.25">
      <c r="A27" s="4">
        <v>201</v>
      </c>
      <c r="B27" s="4">
        <v>2</v>
      </c>
      <c r="C27" s="2">
        <v>0.375</v>
      </c>
      <c r="D27" s="2">
        <v>0</v>
      </c>
      <c r="E27" s="1">
        <v>0.25</v>
      </c>
      <c r="F27" s="1">
        <v>0</v>
      </c>
      <c r="G27" s="1">
        <v>0.5</v>
      </c>
      <c r="H27" s="1">
        <v>0.5</v>
      </c>
      <c r="I27" s="1">
        <v>0.75</v>
      </c>
      <c r="J27" s="1">
        <v>0.25</v>
      </c>
      <c r="K27" s="1">
        <v>0.75</v>
      </c>
      <c r="M27">
        <f t="shared" si="3"/>
        <v>-1.185083587723665</v>
      </c>
      <c r="N27" s="6">
        <f t="shared" si="2"/>
        <v>0.58552631578947367</v>
      </c>
      <c r="O27" s="5">
        <f t="shared" si="2"/>
        <v>0.17764680733943614</v>
      </c>
    </row>
    <row r="28" spans="1:15" x14ac:dyDescent="0.25">
      <c r="A28" s="4">
        <v>202</v>
      </c>
      <c r="B28" s="4">
        <v>2</v>
      </c>
      <c r="C28" s="2">
        <v>0.71875</v>
      </c>
      <c r="D28" s="2">
        <v>1</v>
      </c>
      <c r="E28" s="1">
        <v>0.75</v>
      </c>
      <c r="F28" s="1">
        <v>1</v>
      </c>
      <c r="G28" s="1">
        <v>0.5</v>
      </c>
      <c r="H28" s="1">
        <v>1</v>
      </c>
      <c r="I28" s="1">
        <v>0</v>
      </c>
      <c r="J28" s="1">
        <v>1</v>
      </c>
      <c r="K28" s="1">
        <v>0.5</v>
      </c>
      <c r="M28">
        <f t="shared" si="3"/>
        <v>0.74993570785638186</v>
      </c>
      <c r="N28" s="6">
        <f t="shared" si="2"/>
        <v>0.58552631578947367</v>
      </c>
      <c r="O28" s="5">
        <f t="shared" si="2"/>
        <v>0.17764680733943614</v>
      </c>
    </row>
    <row r="29" spans="1:15" x14ac:dyDescent="0.25">
      <c r="A29" s="4">
        <v>203</v>
      </c>
      <c r="B29" s="4">
        <v>2</v>
      </c>
      <c r="C29" s="2">
        <v>0.4375</v>
      </c>
      <c r="D29" s="2">
        <v>0.25</v>
      </c>
      <c r="E29" s="1">
        <v>0.75</v>
      </c>
      <c r="F29" s="1">
        <v>0.25</v>
      </c>
      <c r="G29" s="1">
        <v>0.5</v>
      </c>
      <c r="H29" s="1">
        <v>0.25</v>
      </c>
      <c r="I29" s="1">
        <v>0.5</v>
      </c>
      <c r="J29" s="1">
        <v>0</v>
      </c>
      <c r="K29" s="1">
        <v>1</v>
      </c>
      <c r="M29">
        <f t="shared" si="3"/>
        <v>-0.83326189761820191</v>
      </c>
      <c r="N29" s="6">
        <f t="shared" si="2"/>
        <v>0.58552631578947367</v>
      </c>
      <c r="O29" s="5">
        <f t="shared" si="2"/>
        <v>0.17764680733943614</v>
      </c>
    </row>
    <row r="30" spans="1:15" x14ac:dyDescent="0.25">
      <c r="A30" s="4">
        <v>210</v>
      </c>
      <c r="B30" s="4">
        <v>2</v>
      </c>
      <c r="C30" s="2">
        <v>0.6875</v>
      </c>
      <c r="D30" s="2">
        <v>1</v>
      </c>
      <c r="E30" s="1">
        <v>1</v>
      </c>
      <c r="F30" s="1">
        <v>0.5</v>
      </c>
      <c r="G30" s="1">
        <v>0.75</v>
      </c>
      <c r="H30" s="1">
        <v>0.5</v>
      </c>
      <c r="I30" s="1">
        <v>0.5</v>
      </c>
      <c r="J30" s="1">
        <v>1</v>
      </c>
      <c r="K30" s="1">
        <v>0.25</v>
      </c>
      <c r="M30">
        <f t="shared" si="3"/>
        <v>0.57402486280365028</v>
      </c>
      <c r="N30" s="6">
        <f t="shared" si="2"/>
        <v>0.58552631578947367</v>
      </c>
      <c r="O30" s="5">
        <f t="shared" si="2"/>
        <v>0.17764680733943614</v>
      </c>
    </row>
    <row r="31" spans="1:15" x14ac:dyDescent="0.25">
      <c r="A31" s="4">
        <v>213</v>
      </c>
      <c r="B31" s="4">
        <v>2</v>
      </c>
      <c r="C31" s="2">
        <v>0.40625</v>
      </c>
      <c r="D31" s="2">
        <v>0</v>
      </c>
      <c r="E31" s="1">
        <v>0.25</v>
      </c>
      <c r="F31" s="1">
        <v>0.25</v>
      </c>
      <c r="G31" s="1">
        <v>0.75</v>
      </c>
      <c r="H31" s="1">
        <v>0.25</v>
      </c>
      <c r="I31" s="1">
        <v>0.5</v>
      </c>
      <c r="J31" s="1">
        <v>0.75</v>
      </c>
      <c r="K31" s="1">
        <v>0.5</v>
      </c>
      <c r="M31">
        <f t="shared" si="3"/>
        <v>-1.0091727426709334</v>
      </c>
      <c r="N31" s="6">
        <f t="shared" si="2"/>
        <v>0.58552631578947367</v>
      </c>
      <c r="O31" s="5">
        <f t="shared" si="2"/>
        <v>0.17764680733943614</v>
      </c>
    </row>
    <row r="32" spans="1:15" x14ac:dyDescent="0.25">
      <c r="A32" s="4">
        <v>220</v>
      </c>
      <c r="B32" s="4">
        <v>2</v>
      </c>
      <c r="C32" s="2">
        <v>0.71875</v>
      </c>
      <c r="D32" s="2">
        <v>1</v>
      </c>
      <c r="E32" s="1">
        <v>0.25</v>
      </c>
      <c r="F32" s="1">
        <v>0.75</v>
      </c>
      <c r="G32" s="1">
        <v>0.5</v>
      </c>
      <c r="H32" s="1">
        <v>0.75</v>
      </c>
      <c r="I32" s="1">
        <v>0.75</v>
      </c>
      <c r="J32" s="1">
        <v>1</v>
      </c>
      <c r="K32" s="1">
        <v>0.75</v>
      </c>
      <c r="M32">
        <f t="shared" si="3"/>
        <v>0.74993570785638186</v>
      </c>
      <c r="N32" s="6">
        <f t="shared" si="2"/>
        <v>0.58552631578947367</v>
      </c>
      <c r="O32" s="5">
        <f t="shared" si="2"/>
        <v>0.17764680733943614</v>
      </c>
    </row>
    <row r="33" spans="1:15" x14ac:dyDescent="0.25">
      <c r="A33" s="4">
        <v>221</v>
      </c>
      <c r="B33" s="4">
        <v>2</v>
      </c>
      <c r="C33" s="2">
        <v>0.3125</v>
      </c>
      <c r="D33" s="2">
        <v>0</v>
      </c>
      <c r="E33" s="1">
        <v>0.25</v>
      </c>
      <c r="F33" s="1">
        <v>0.25</v>
      </c>
      <c r="G33" s="1">
        <v>0.25</v>
      </c>
      <c r="H33" s="1">
        <v>0</v>
      </c>
      <c r="I33" s="1">
        <v>0.5</v>
      </c>
      <c r="J33" s="1">
        <v>0.25</v>
      </c>
      <c r="K33" s="1">
        <v>1</v>
      </c>
      <c r="M33">
        <f t="shared" si="3"/>
        <v>-1.5369052778291281</v>
      </c>
      <c r="N33" s="6">
        <f t="shared" si="2"/>
        <v>0.58552631578947367</v>
      </c>
      <c r="O33" s="5">
        <f t="shared" si="2"/>
        <v>0.17764680733943614</v>
      </c>
    </row>
    <row r="34" spans="1:15" x14ac:dyDescent="0.25">
      <c r="A34" s="4">
        <v>225</v>
      </c>
      <c r="B34" s="4">
        <v>2</v>
      </c>
      <c r="C34" s="2">
        <v>0.53125</v>
      </c>
      <c r="D34" s="2">
        <v>0.5</v>
      </c>
      <c r="E34" s="1">
        <v>1</v>
      </c>
      <c r="F34" s="1">
        <v>0.25</v>
      </c>
      <c r="G34" s="1">
        <v>0.5</v>
      </c>
      <c r="H34" s="1">
        <v>0.75</v>
      </c>
      <c r="I34" s="1">
        <v>0.5</v>
      </c>
      <c r="J34" s="1">
        <v>0.75</v>
      </c>
      <c r="K34" s="1">
        <v>0</v>
      </c>
      <c r="M34">
        <f t="shared" si="3"/>
        <v>-0.30552936246000734</v>
      </c>
      <c r="N34" s="6">
        <f t="shared" si="2"/>
        <v>0.58552631578947367</v>
      </c>
      <c r="O34" s="5">
        <f t="shared" si="2"/>
        <v>0.17764680733943614</v>
      </c>
    </row>
    <row r="35" spans="1:15" x14ac:dyDescent="0.25">
      <c r="A35" s="4">
        <v>231</v>
      </c>
      <c r="B35" s="4">
        <v>2</v>
      </c>
      <c r="C35" s="2">
        <v>0.53125</v>
      </c>
      <c r="D35" s="2">
        <v>0.75</v>
      </c>
      <c r="E35" s="1">
        <v>0.25</v>
      </c>
      <c r="F35" s="1">
        <v>1</v>
      </c>
      <c r="G35" s="1">
        <v>0.25</v>
      </c>
      <c r="H35" s="1">
        <v>0.75</v>
      </c>
      <c r="I35" s="1">
        <v>0.25</v>
      </c>
      <c r="J35" s="1">
        <v>0.25</v>
      </c>
      <c r="K35" s="1">
        <v>0.75</v>
      </c>
      <c r="M35">
        <f t="shared" si="3"/>
        <v>-0.30552936246000734</v>
      </c>
      <c r="N35" s="6">
        <f t="shared" si="2"/>
        <v>0.58552631578947367</v>
      </c>
      <c r="O35" s="5">
        <f t="shared" si="2"/>
        <v>0.17764680733943614</v>
      </c>
    </row>
    <row r="36" spans="1:15" x14ac:dyDescent="0.25">
      <c r="A36" s="4">
        <v>251</v>
      </c>
      <c r="B36" s="4">
        <v>2</v>
      </c>
      <c r="C36" s="2">
        <v>0.6875</v>
      </c>
      <c r="D36" s="2">
        <v>1</v>
      </c>
      <c r="E36" s="1">
        <v>0.25</v>
      </c>
      <c r="F36" s="1">
        <v>1</v>
      </c>
      <c r="G36" s="1">
        <v>0.5</v>
      </c>
      <c r="H36" s="1">
        <v>1</v>
      </c>
      <c r="I36" s="1">
        <v>0.25</v>
      </c>
      <c r="J36" s="1">
        <v>1</v>
      </c>
      <c r="K36" s="1">
        <v>0.5</v>
      </c>
      <c r="M36">
        <f t="shared" si="3"/>
        <v>0.57402486280365028</v>
      </c>
      <c r="N36" s="6">
        <f t="shared" ref="N36:O51" si="4">N35</f>
        <v>0.58552631578947367</v>
      </c>
      <c r="O36" s="5">
        <f t="shared" si="4"/>
        <v>0.17764680733943614</v>
      </c>
    </row>
    <row r="37" spans="1:15" x14ac:dyDescent="0.25">
      <c r="A37" s="4">
        <v>252</v>
      </c>
      <c r="B37" s="4">
        <v>2</v>
      </c>
      <c r="C37" s="2">
        <v>0.71875</v>
      </c>
      <c r="D37" s="2">
        <v>1</v>
      </c>
      <c r="E37" s="1">
        <v>0.75</v>
      </c>
      <c r="F37" s="1">
        <v>1</v>
      </c>
      <c r="G37" s="1">
        <v>0.5</v>
      </c>
      <c r="H37" s="1">
        <v>1</v>
      </c>
      <c r="I37" s="1">
        <v>0.5</v>
      </c>
      <c r="J37" s="1">
        <v>1</v>
      </c>
      <c r="K37" s="1">
        <v>0</v>
      </c>
      <c r="M37">
        <f t="shared" si="3"/>
        <v>0.74993570785638186</v>
      </c>
      <c r="N37" s="6">
        <f t="shared" si="4"/>
        <v>0.58552631578947367</v>
      </c>
      <c r="O37" s="5">
        <f t="shared" si="4"/>
        <v>0.17764680733943614</v>
      </c>
    </row>
    <row r="38" spans="1:15" x14ac:dyDescent="0.25">
      <c r="A38" s="4">
        <v>255</v>
      </c>
      <c r="B38" s="4">
        <v>2</v>
      </c>
      <c r="C38" s="2">
        <v>0.71875</v>
      </c>
      <c r="D38" s="2">
        <v>0.75</v>
      </c>
      <c r="E38" s="1">
        <v>0.75</v>
      </c>
      <c r="F38" s="1">
        <v>1</v>
      </c>
      <c r="G38" s="1">
        <v>0.5</v>
      </c>
      <c r="H38" s="1">
        <v>0.75</v>
      </c>
      <c r="I38" s="1">
        <v>0.5</v>
      </c>
      <c r="J38" s="1">
        <v>0.75</v>
      </c>
      <c r="K38" s="1">
        <v>0.75</v>
      </c>
      <c r="M38">
        <f t="shared" si="3"/>
        <v>0.74993570785638186</v>
      </c>
      <c r="N38" s="6">
        <f t="shared" si="4"/>
        <v>0.58552631578947367</v>
      </c>
      <c r="O38" s="5">
        <f t="shared" si="4"/>
        <v>0.17764680733943614</v>
      </c>
    </row>
    <row r="39" spans="1:15" x14ac:dyDescent="0.25">
      <c r="A39" s="7">
        <v>257</v>
      </c>
      <c r="B39" s="7">
        <v>2</v>
      </c>
      <c r="C39" s="12">
        <v>0.71875</v>
      </c>
      <c r="D39" s="12">
        <v>0.25</v>
      </c>
      <c r="E39" s="11">
        <v>0.25</v>
      </c>
      <c r="F39" s="11">
        <v>0.75</v>
      </c>
      <c r="G39" s="11">
        <v>1</v>
      </c>
      <c r="H39" s="11">
        <v>0.75</v>
      </c>
      <c r="I39" s="11">
        <v>0.75</v>
      </c>
      <c r="J39" s="11">
        <v>1</v>
      </c>
      <c r="K39" s="11">
        <v>1</v>
      </c>
      <c r="M39" s="8">
        <f t="shared" si="3"/>
        <v>0.74993570785638186</v>
      </c>
      <c r="N39" s="9">
        <f t="shared" si="4"/>
        <v>0.58552631578947367</v>
      </c>
      <c r="O39" s="10">
        <f t="shared" si="4"/>
        <v>0.17764680733943614</v>
      </c>
    </row>
    <row r="40" spans="1:15" x14ac:dyDescent="0.25">
      <c r="A40" s="4">
        <v>101</v>
      </c>
      <c r="B40" s="4">
        <v>3</v>
      </c>
      <c r="C40" s="2">
        <v>0.40625</v>
      </c>
      <c r="D40" s="2">
        <v>0</v>
      </c>
      <c r="E40" s="1">
        <v>0.75</v>
      </c>
      <c r="F40" s="1">
        <v>0.5</v>
      </c>
      <c r="G40" s="1">
        <v>0.5</v>
      </c>
      <c r="H40" s="1">
        <v>0</v>
      </c>
      <c r="I40" s="1">
        <v>0.75</v>
      </c>
      <c r="J40" s="1">
        <v>0.5</v>
      </c>
      <c r="K40" s="1">
        <v>0.25</v>
      </c>
      <c r="M40">
        <f>(C40-N40)/O40</f>
        <v>-1.0752010912199512</v>
      </c>
      <c r="N40" s="6">
        <f>AVERAGE(C40:C57)</f>
        <v>0.57118055555555558</v>
      </c>
      <c r="O40" s="5">
        <f>STDEV(C40:C57)</f>
        <v>0.15339507828105073</v>
      </c>
    </row>
    <row r="41" spans="1:15" x14ac:dyDescent="0.25">
      <c r="A41" s="4">
        <v>106</v>
      </c>
      <c r="B41" s="4">
        <v>3</v>
      </c>
      <c r="C41" s="2">
        <v>0.46875</v>
      </c>
      <c r="D41" s="2">
        <v>0.25</v>
      </c>
      <c r="E41" s="1">
        <v>0.75</v>
      </c>
      <c r="F41" s="1">
        <v>0.25</v>
      </c>
      <c r="G41" s="1">
        <v>0.75</v>
      </c>
      <c r="H41" s="1">
        <v>0.25</v>
      </c>
      <c r="I41" s="1">
        <v>0.25</v>
      </c>
      <c r="J41" s="1">
        <v>0.25</v>
      </c>
      <c r="K41" s="1">
        <v>1</v>
      </c>
      <c r="M41">
        <f t="shared" ref="M41:M57" si="5">(C41-N41)/O41</f>
        <v>-0.66775646717870663</v>
      </c>
      <c r="N41" s="6">
        <f t="shared" si="4"/>
        <v>0.57118055555555558</v>
      </c>
      <c r="O41" s="5">
        <f t="shared" si="4"/>
        <v>0.15339507828105073</v>
      </c>
    </row>
    <row r="42" spans="1:15" x14ac:dyDescent="0.25">
      <c r="A42" s="4">
        <v>107</v>
      </c>
      <c r="B42" s="4">
        <v>3</v>
      </c>
      <c r="C42" s="2">
        <v>0.625</v>
      </c>
      <c r="D42" s="2">
        <v>1</v>
      </c>
      <c r="E42" s="1">
        <v>0.75</v>
      </c>
      <c r="F42" s="1">
        <v>0.5</v>
      </c>
      <c r="G42" s="1">
        <v>0.75</v>
      </c>
      <c r="H42" s="1">
        <v>1</v>
      </c>
      <c r="I42" s="1">
        <v>0.25</v>
      </c>
      <c r="J42" s="1">
        <v>0.75</v>
      </c>
      <c r="K42" s="1">
        <v>0</v>
      </c>
      <c r="M42">
        <f t="shared" si="5"/>
        <v>0.35085509292440492</v>
      </c>
      <c r="N42" s="6">
        <f t="shared" si="4"/>
        <v>0.57118055555555558</v>
      </c>
      <c r="O42" s="5">
        <f t="shared" si="4"/>
        <v>0.15339507828105073</v>
      </c>
    </row>
    <row r="43" spans="1:15" x14ac:dyDescent="0.25">
      <c r="A43" s="4">
        <v>109</v>
      </c>
      <c r="B43" s="4">
        <v>3</v>
      </c>
      <c r="C43" s="2">
        <v>0.28125</v>
      </c>
      <c r="D43" s="2">
        <v>0</v>
      </c>
      <c r="E43" s="1">
        <v>0.25</v>
      </c>
      <c r="F43" s="1">
        <v>0</v>
      </c>
      <c r="G43" s="1">
        <v>0.75</v>
      </c>
      <c r="H43" s="1">
        <v>0</v>
      </c>
      <c r="I43" s="1">
        <v>0.5</v>
      </c>
      <c r="J43" s="1">
        <v>0.5</v>
      </c>
      <c r="K43" s="1">
        <v>0.25</v>
      </c>
      <c r="M43">
        <f t="shared" si="5"/>
        <v>-1.8900903393024404</v>
      </c>
      <c r="N43" s="6">
        <f t="shared" si="4"/>
        <v>0.57118055555555558</v>
      </c>
      <c r="O43" s="5">
        <f t="shared" si="4"/>
        <v>0.15339507828105073</v>
      </c>
    </row>
    <row r="44" spans="1:15" x14ac:dyDescent="0.25">
      <c r="A44" s="4">
        <v>156</v>
      </c>
      <c r="B44" s="4">
        <v>3</v>
      </c>
      <c r="C44" s="2">
        <v>0.65625</v>
      </c>
      <c r="D44" s="2">
        <v>1</v>
      </c>
      <c r="E44" s="1">
        <v>0.5</v>
      </c>
      <c r="F44" s="1">
        <v>1</v>
      </c>
      <c r="G44" s="1">
        <v>0.25</v>
      </c>
      <c r="H44" s="1">
        <v>1</v>
      </c>
      <c r="I44" s="1">
        <v>0.5</v>
      </c>
      <c r="J44" s="1">
        <v>0.75</v>
      </c>
      <c r="K44" s="1">
        <v>0.25</v>
      </c>
      <c r="M44">
        <f t="shared" si="5"/>
        <v>0.55457740494502727</v>
      </c>
      <c r="N44" s="6">
        <f t="shared" si="4"/>
        <v>0.57118055555555558</v>
      </c>
      <c r="O44" s="5">
        <f t="shared" si="4"/>
        <v>0.15339507828105073</v>
      </c>
    </row>
    <row r="45" spans="1:15" x14ac:dyDescent="0.25">
      <c r="A45" s="4">
        <v>204</v>
      </c>
      <c r="B45" s="4">
        <v>3</v>
      </c>
      <c r="C45" s="2">
        <v>0.5625</v>
      </c>
      <c r="D45" s="2">
        <v>0.75</v>
      </c>
      <c r="E45" s="1">
        <v>0.25</v>
      </c>
      <c r="F45" s="1">
        <v>1</v>
      </c>
      <c r="G45" s="1">
        <v>0.25</v>
      </c>
      <c r="H45" s="1">
        <v>0.5</v>
      </c>
      <c r="I45" s="1">
        <v>0.5</v>
      </c>
      <c r="J45" s="1">
        <v>0.75</v>
      </c>
      <c r="K45" s="1">
        <v>0.5</v>
      </c>
      <c r="M45">
        <f t="shared" si="5"/>
        <v>-5.6589531116839689E-2</v>
      </c>
      <c r="N45" s="6">
        <f t="shared" si="4"/>
        <v>0.57118055555555558</v>
      </c>
      <c r="O45" s="5">
        <f t="shared" si="4"/>
        <v>0.15339507828105073</v>
      </c>
    </row>
    <row r="46" spans="1:15" x14ac:dyDescent="0.25">
      <c r="A46" s="4">
        <v>208</v>
      </c>
      <c r="B46" s="4">
        <v>3</v>
      </c>
      <c r="C46" s="2">
        <v>0.625</v>
      </c>
      <c r="D46" s="2">
        <v>1</v>
      </c>
      <c r="E46" s="1">
        <v>0.5</v>
      </c>
      <c r="F46" s="1">
        <v>1</v>
      </c>
      <c r="G46" s="1">
        <v>0.25</v>
      </c>
      <c r="H46" s="1">
        <v>0.75</v>
      </c>
      <c r="I46" s="1">
        <v>0.25</v>
      </c>
      <c r="J46" s="1">
        <v>1</v>
      </c>
      <c r="K46" s="1">
        <v>0.25</v>
      </c>
      <c r="M46">
        <f t="shared" si="5"/>
        <v>0.35085509292440492</v>
      </c>
      <c r="N46" s="6">
        <f t="shared" si="4"/>
        <v>0.57118055555555558</v>
      </c>
      <c r="O46" s="5">
        <f t="shared" si="4"/>
        <v>0.15339507828105073</v>
      </c>
    </row>
    <row r="47" spans="1:15" x14ac:dyDescent="0.25">
      <c r="A47" s="4">
        <v>209</v>
      </c>
      <c r="B47" s="4">
        <v>3</v>
      </c>
      <c r="C47" s="2">
        <v>0.28125</v>
      </c>
      <c r="D47" s="2">
        <v>0</v>
      </c>
      <c r="E47" s="1">
        <v>0.5</v>
      </c>
      <c r="F47" s="1">
        <v>0</v>
      </c>
      <c r="G47" s="1">
        <v>0.5</v>
      </c>
      <c r="H47" s="1">
        <v>0.25</v>
      </c>
      <c r="I47" s="1">
        <v>0.5</v>
      </c>
      <c r="J47" s="1">
        <v>0.25</v>
      </c>
      <c r="K47" s="1">
        <v>0.25</v>
      </c>
      <c r="M47">
        <f t="shared" si="5"/>
        <v>-1.8900903393024404</v>
      </c>
      <c r="N47" s="6">
        <f t="shared" si="4"/>
        <v>0.57118055555555558</v>
      </c>
      <c r="O47" s="5">
        <f t="shared" si="4"/>
        <v>0.15339507828105073</v>
      </c>
    </row>
    <row r="48" spans="1:15" x14ac:dyDescent="0.25">
      <c r="A48" s="4">
        <v>211</v>
      </c>
      <c r="B48" s="4">
        <v>3</v>
      </c>
      <c r="C48" s="2">
        <v>0.40625</v>
      </c>
      <c r="D48" s="2">
        <v>0</v>
      </c>
      <c r="E48" s="1">
        <v>0.25</v>
      </c>
      <c r="F48" s="1">
        <v>0</v>
      </c>
      <c r="G48" s="1">
        <v>0.5</v>
      </c>
      <c r="H48" s="1">
        <v>0.25</v>
      </c>
      <c r="I48" s="1">
        <v>0.75</v>
      </c>
      <c r="J48" s="1">
        <v>0.75</v>
      </c>
      <c r="K48" s="1">
        <v>0.75</v>
      </c>
      <c r="M48">
        <f t="shared" si="5"/>
        <v>-1.0752010912199512</v>
      </c>
      <c r="N48" s="6">
        <f t="shared" si="4"/>
        <v>0.57118055555555558</v>
      </c>
      <c r="O48" s="5">
        <f t="shared" si="4"/>
        <v>0.15339507828105073</v>
      </c>
    </row>
    <row r="49" spans="1:15" x14ac:dyDescent="0.25">
      <c r="A49" s="4">
        <v>215</v>
      </c>
      <c r="B49" s="4">
        <v>3</v>
      </c>
      <c r="C49" s="2">
        <v>0.625</v>
      </c>
      <c r="D49" s="2">
        <v>0.75</v>
      </c>
      <c r="E49" s="1">
        <v>0.5</v>
      </c>
      <c r="F49" s="1">
        <v>0.5</v>
      </c>
      <c r="G49" s="1">
        <v>0.5</v>
      </c>
      <c r="H49" s="1">
        <v>1</v>
      </c>
      <c r="I49" s="1">
        <v>0.75</v>
      </c>
      <c r="J49" s="1">
        <v>0.5</v>
      </c>
      <c r="K49" s="1">
        <v>0.5</v>
      </c>
      <c r="M49">
        <f t="shared" si="5"/>
        <v>0.35085509292440492</v>
      </c>
      <c r="N49" s="6">
        <f t="shared" si="4"/>
        <v>0.57118055555555558</v>
      </c>
      <c r="O49" s="5">
        <f t="shared" si="4"/>
        <v>0.15339507828105073</v>
      </c>
    </row>
    <row r="50" spans="1:15" x14ac:dyDescent="0.25">
      <c r="A50" s="4">
        <v>217</v>
      </c>
      <c r="B50" s="4">
        <v>3</v>
      </c>
      <c r="C50" s="2">
        <v>0.65625</v>
      </c>
      <c r="D50" s="2">
        <v>1</v>
      </c>
      <c r="E50" s="1">
        <v>0.75</v>
      </c>
      <c r="F50" s="1">
        <v>1</v>
      </c>
      <c r="G50" s="1">
        <v>0.25</v>
      </c>
      <c r="H50" s="1">
        <v>1</v>
      </c>
      <c r="I50" s="1">
        <v>0</v>
      </c>
      <c r="J50" s="1">
        <v>0.75</v>
      </c>
      <c r="K50" s="1">
        <v>0.5</v>
      </c>
      <c r="M50">
        <f t="shared" si="5"/>
        <v>0.55457740494502727</v>
      </c>
      <c r="N50" s="6">
        <f t="shared" si="4"/>
        <v>0.57118055555555558</v>
      </c>
      <c r="O50" s="5">
        <f t="shared" si="4"/>
        <v>0.15339507828105073</v>
      </c>
    </row>
    <row r="51" spans="1:15" x14ac:dyDescent="0.25">
      <c r="A51" s="4">
        <v>218</v>
      </c>
      <c r="B51" s="4">
        <v>3</v>
      </c>
      <c r="C51" s="2">
        <v>0.71875</v>
      </c>
      <c r="D51" s="2">
        <v>1</v>
      </c>
      <c r="E51" s="1">
        <v>0.5</v>
      </c>
      <c r="F51" s="1">
        <v>0.75</v>
      </c>
      <c r="G51" s="1">
        <v>0.5</v>
      </c>
      <c r="H51" s="1">
        <v>1</v>
      </c>
      <c r="I51" s="1">
        <v>0.5</v>
      </c>
      <c r="J51" s="1">
        <v>0.75</v>
      </c>
      <c r="K51" s="1">
        <v>0.75</v>
      </c>
      <c r="M51">
        <f t="shared" si="5"/>
        <v>0.96202202898627187</v>
      </c>
      <c r="N51" s="6">
        <f t="shared" si="4"/>
        <v>0.57118055555555558</v>
      </c>
      <c r="O51" s="5">
        <f t="shared" si="4"/>
        <v>0.15339507828105073</v>
      </c>
    </row>
    <row r="52" spans="1:15" x14ac:dyDescent="0.25">
      <c r="A52" s="4">
        <v>222</v>
      </c>
      <c r="B52" s="4">
        <v>3</v>
      </c>
      <c r="C52" s="2">
        <v>0.71875</v>
      </c>
      <c r="D52" s="2">
        <v>1</v>
      </c>
      <c r="E52" s="1">
        <v>0.75</v>
      </c>
      <c r="F52" s="1">
        <v>0.75</v>
      </c>
      <c r="G52" s="1">
        <v>0.75</v>
      </c>
      <c r="H52" s="1">
        <v>1</v>
      </c>
      <c r="I52" s="1">
        <v>0.5</v>
      </c>
      <c r="J52" s="1">
        <v>1</v>
      </c>
      <c r="K52" s="1">
        <v>0</v>
      </c>
      <c r="M52">
        <f t="shared" si="5"/>
        <v>0.96202202898627187</v>
      </c>
      <c r="N52" s="6">
        <f t="shared" ref="N52:O57" si="6">N51</f>
        <v>0.57118055555555558</v>
      </c>
      <c r="O52" s="5">
        <f t="shared" si="6"/>
        <v>0.15339507828105073</v>
      </c>
    </row>
    <row r="53" spans="1:15" x14ac:dyDescent="0.25">
      <c r="A53" s="4">
        <v>223</v>
      </c>
      <c r="B53" s="4">
        <v>3</v>
      </c>
      <c r="C53" s="2">
        <v>0.5</v>
      </c>
      <c r="D53" s="2">
        <v>1</v>
      </c>
      <c r="E53" s="1">
        <v>0</v>
      </c>
      <c r="F53" s="1">
        <v>0.75</v>
      </c>
      <c r="G53" s="1">
        <v>0.25</v>
      </c>
      <c r="H53" s="1">
        <v>0.5</v>
      </c>
      <c r="I53" s="1">
        <v>0.25</v>
      </c>
      <c r="J53" s="1">
        <v>1</v>
      </c>
      <c r="K53" s="1">
        <v>0.25</v>
      </c>
      <c r="M53">
        <f t="shared" si="5"/>
        <v>-0.46403415515808427</v>
      </c>
      <c r="N53" s="6">
        <f t="shared" si="6"/>
        <v>0.57118055555555558</v>
      </c>
      <c r="O53" s="5">
        <f t="shared" si="6"/>
        <v>0.15339507828105073</v>
      </c>
    </row>
    <row r="54" spans="1:15" x14ac:dyDescent="0.25">
      <c r="A54" s="4">
        <v>227</v>
      </c>
      <c r="B54" s="4">
        <v>3</v>
      </c>
      <c r="C54" s="2">
        <v>0.6875</v>
      </c>
      <c r="D54" s="2">
        <v>1</v>
      </c>
      <c r="E54" s="1">
        <v>0.5</v>
      </c>
      <c r="F54" s="1">
        <v>0.75</v>
      </c>
      <c r="G54" s="1">
        <v>0.75</v>
      </c>
      <c r="H54" s="1">
        <v>1</v>
      </c>
      <c r="I54" s="1">
        <v>0.5</v>
      </c>
      <c r="J54" s="1">
        <v>0.75</v>
      </c>
      <c r="K54" s="1">
        <v>0.25</v>
      </c>
      <c r="M54">
        <f t="shared" si="5"/>
        <v>0.75829971696564957</v>
      </c>
      <c r="N54" s="6">
        <f t="shared" si="6"/>
        <v>0.57118055555555558</v>
      </c>
      <c r="O54" s="5">
        <f t="shared" si="6"/>
        <v>0.15339507828105073</v>
      </c>
    </row>
    <row r="55" spans="1:15" x14ac:dyDescent="0.25">
      <c r="A55" s="4">
        <v>232</v>
      </c>
      <c r="B55" s="4">
        <v>3</v>
      </c>
      <c r="C55" s="2">
        <v>0.5625</v>
      </c>
      <c r="D55" s="2">
        <v>1</v>
      </c>
      <c r="E55" s="1">
        <v>0.75</v>
      </c>
      <c r="F55" s="1">
        <v>0.75</v>
      </c>
      <c r="G55" s="1">
        <v>0.5</v>
      </c>
      <c r="H55" s="1">
        <v>0.25</v>
      </c>
      <c r="I55" s="1">
        <v>0.25</v>
      </c>
      <c r="J55" s="1">
        <v>0.5</v>
      </c>
      <c r="K55" s="1">
        <v>0.5</v>
      </c>
      <c r="M55">
        <f t="shared" si="5"/>
        <v>-5.6589531116839689E-2</v>
      </c>
      <c r="N55" s="6">
        <f t="shared" si="6"/>
        <v>0.57118055555555558</v>
      </c>
      <c r="O55" s="5">
        <f t="shared" si="6"/>
        <v>0.15339507828105073</v>
      </c>
    </row>
    <row r="56" spans="1:15" x14ac:dyDescent="0.25">
      <c r="A56" s="4">
        <v>253</v>
      </c>
      <c r="B56" s="4">
        <v>3</v>
      </c>
      <c r="C56" s="2">
        <v>0.65625</v>
      </c>
      <c r="D56" s="2">
        <v>0.75</v>
      </c>
      <c r="E56" s="1">
        <v>0.75</v>
      </c>
      <c r="F56" s="1">
        <v>1</v>
      </c>
      <c r="G56" s="1">
        <v>0.25</v>
      </c>
      <c r="H56" s="1">
        <v>0.75</v>
      </c>
      <c r="I56" s="1">
        <v>0.5</v>
      </c>
      <c r="J56" s="1">
        <v>1</v>
      </c>
      <c r="K56" s="1">
        <v>0.25</v>
      </c>
      <c r="M56">
        <f t="shared" si="5"/>
        <v>0.55457740494502727</v>
      </c>
      <c r="N56" s="6">
        <f t="shared" si="6"/>
        <v>0.57118055555555558</v>
      </c>
      <c r="O56" s="5">
        <f t="shared" si="6"/>
        <v>0.15339507828105073</v>
      </c>
    </row>
    <row r="57" spans="1:15" x14ac:dyDescent="0.25">
      <c r="A57" s="4">
        <v>256</v>
      </c>
      <c r="B57" s="4">
        <v>3</v>
      </c>
      <c r="C57" s="2">
        <v>0.84375</v>
      </c>
      <c r="D57" s="2">
        <v>1</v>
      </c>
      <c r="E57" s="1">
        <v>1</v>
      </c>
      <c r="F57" s="1">
        <v>1</v>
      </c>
      <c r="G57" s="1">
        <v>0.5</v>
      </c>
      <c r="H57" s="1">
        <v>1</v>
      </c>
      <c r="I57" s="1">
        <v>0.75</v>
      </c>
      <c r="J57" s="1">
        <v>1</v>
      </c>
      <c r="K57" s="1">
        <v>0.5</v>
      </c>
      <c r="M57">
        <f t="shared" si="5"/>
        <v>1.776911277068761</v>
      </c>
      <c r="N57" s="6">
        <f t="shared" si="6"/>
        <v>0.57118055555555558</v>
      </c>
      <c r="O57" s="5">
        <f t="shared" si="6"/>
        <v>0.15339507828105073</v>
      </c>
    </row>
  </sheetData>
  <conditionalFormatting sqref="M2:M57">
    <cfRule type="cellIs" dxfId="3" priority="1" operator="lessThanOrEqual">
      <formula>-2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/>
  </sheetViews>
  <sheetFormatPr baseColWidth="10" defaultRowHeight="15" x14ac:dyDescent="0.25"/>
  <sheetData>
    <row r="1" spans="1:15" ht="15.75" x14ac:dyDescent="0.25">
      <c r="A1" s="3" t="s">
        <v>0</v>
      </c>
      <c r="B1" s="3" t="s">
        <v>12</v>
      </c>
      <c r="C1" s="3" t="s">
        <v>13</v>
      </c>
      <c r="D1" s="3" t="s">
        <v>4</v>
      </c>
      <c r="E1" s="3" t="s">
        <v>6</v>
      </c>
      <c r="F1" s="3" t="s">
        <v>5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M1" s="3" t="s">
        <v>3</v>
      </c>
      <c r="N1" s="5" t="s">
        <v>2</v>
      </c>
      <c r="O1" s="5" t="s">
        <v>1</v>
      </c>
    </row>
    <row r="2" spans="1:15" x14ac:dyDescent="0.25">
      <c r="A2" s="4">
        <v>102</v>
      </c>
      <c r="B2" s="4">
        <v>1</v>
      </c>
      <c r="C2" s="2">
        <v>0.75</v>
      </c>
      <c r="D2" s="2">
        <v>0.75</v>
      </c>
      <c r="E2" s="1">
        <v>0.75</v>
      </c>
      <c r="F2" s="1">
        <v>1</v>
      </c>
      <c r="G2" s="1">
        <v>0.5</v>
      </c>
      <c r="H2" s="1">
        <v>1</v>
      </c>
      <c r="I2" s="1">
        <v>0.5</v>
      </c>
      <c r="J2" s="1">
        <v>1</v>
      </c>
      <c r="K2" s="1">
        <v>0.5</v>
      </c>
      <c r="M2">
        <f>(C2-N2)/O2</f>
        <v>0.41596755564804516</v>
      </c>
      <c r="N2" s="6">
        <f>AVERAGE(C2:C20)</f>
        <v>0.70888157894736847</v>
      </c>
      <c r="O2" s="5">
        <f>STDEV(C2:C20)</f>
        <v>9.8850067738028791E-2</v>
      </c>
    </row>
    <row r="3" spans="1:15" x14ac:dyDescent="0.25">
      <c r="A3" s="4">
        <v>105</v>
      </c>
      <c r="B3" s="4">
        <v>1</v>
      </c>
      <c r="C3" s="2">
        <v>0.65625</v>
      </c>
      <c r="D3" s="2">
        <v>0.75</v>
      </c>
      <c r="E3" s="1">
        <v>1</v>
      </c>
      <c r="F3" s="1">
        <v>0.75</v>
      </c>
      <c r="G3" s="1">
        <v>0.75</v>
      </c>
      <c r="H3" s="1">
        <v>0.75</v>
      </c>
      <c r="I3" s="1">
        <v>0</v>
      </c>
      <c r="J3" s="1">
        <v>0.75</v>
      </c>
      <c r="K3" s="1">
        <v>0.5</v>
      </c>
      <c r="M3">
        <f t="shared" ref="M3:M20" si="0">(C3-N3)/O3</f>
        <v>-0.53243847122949906</v>
      </c>
      <c r="N3" s="6">
        <f>N2</f>
        <v>0.70888157894736847</v>
      </c>
      <c r="O3" s="5">
        <f>O2</f>
        <v>9.8850067738028791E-2</v>
      </c>
    </row>
    <row r="4" spans="1:15" x14ac:dyDescent="0.25">
      <c r="A4" s="4">
        <v>110</v>
      </c>
      <c r="B4" s="4">
        <v>1</v>
      </c>
      <c r="C4" s="2">
        <v>0.875</v>
      </c>
      <c r="D4" s="2">
        <v>0.75</v>
      </c>
      <c r="E4" s="1">
        <v>1</v>
      </c>
      <c r="F4" s="1">
        <v>1</v>
      </c>
      <c r="G4" s="1">
        <v>0.75</v>
      </c>
      <c r="H4" s="1">
        <v>0.75</v>
      </c>
      <c r="I4" s="1">
        <v>1</v>
      </c>
      <c r="J4" s="1">
        <v>1</v>
      </c>
      <c r="K4" s="1">
        <v>0.75</v>
      </c>
      <c r="M4">
        <f t="shared" si="0"/>
        <v>1.6805089248181042</v>
      </c>
      <c r="N4" s="6">
        <f t="shared" ref="N4:O19" si="1">N3</f>
        <v>0.70888157894736847</v>
      </c>
      <c r="O4" s="5">
        <f t="shared" si="1"/>
        <v>9.8850067738028791E-2</v>
      </c>
    </row>
    <row r="5" spans="1:15" x14ac:dyDescent="0.25">
      <c r="A5" s="4">
        <v>111</v>
      </c>
      <c r="B5" s="4">
        <v>1</v>
      </c>
      <c r="C5" s="2">
        <v>0.6875</v>
      </c>
      <c r="D5" s="2">
        <v>1</v>
      </c>
      <c r="E5" s="1">
        <v>0.75</v>
      </c>
      <c r="F5" s="1">
        <v>1</v>
      </c>
      <c r="G5" s="1">
        <v>0.75</v>
      </c>
      <c r="H5" s="1">
        <v>0.75</v>
      </c>
      <c r="I5" s="1">
        <v>0</v>
      </c>
      <c r="J5" s="1">
        <v>0.5</v>
      </c>
      <c r="K5" s="1">
        <v>0.75</v>
      </c>
      <c r="M5">
        <f t="shared" si="0"/>
        <v>-0.21630312893698431</v>
      </c>
      <c r="N5" s="6">
        <f t="shared" si="1"/>
        <v>0.70888157894736847</v>
      </c>
      <c r="O5" s="5">
        <f t="shared" si="1"/>
        <v>9.8850067738028791E-2</v>
      </c>
    </row>
    <row r="6" spans="1:15" x14ac:dyDescent="0.25">
      <c r="A6" s="4">
        <v>152</v>
      </c>
      <c r="B6" s="4">
        <v>1</v>
      </c>
      <c r="C6" s="2">
        <v>0.625</v>
      </c>
      <c r="D6" s="2">
        <v>1</v>
      </c>
      <c r="E6" s="1">
        <v>0.75</v>
      </c>
      <c r="F6" s="1">
        <v>0.75</v>
      </c>
      <c r="G6" s="1">
        <v>0.5</v>
      </c>
      <c r="H6" s="1">
        <v>0.75</v>
      </c>
      <c r="I6" s="1">
        <v>0.25</v>
      </c>
      <c r="J6" s="1">
        <v>0.5</v>
      </c>
      <c r="K6" s="1">
        <v>0.5</v>
      </c>
      <c r="M6">
        <f t="shared" si="0"/>
        <v>-0.84857381352201378</v>
      </c>
      <c r="N6" s="6">
        <f t="shared" si="1"/>
        <v>0.70888157894736847</v>
      </c>
      <c r="O6" s="5">
        <f t="shared" si="1"/>
        <v>9.8850067738028791E-2</v>
      </c>
    </row>
    <row r="7" spans="1:15" x14ac:dyDescent="0.25">
      <c r="A7" s="4">
        <v>155</v>
      </c>
      <c r="B7" s="4">
        <v>1</v>
      </c>
      <c r="C7" s="2">
        <v>0.4375</v>
      </c>
      <c r="D7" s="2">
        <v>0.75</v>
      </c>
      <c r="E7" s="1">
        <v>0.5</v>
      </c>
      <c r="F7" s="1">
        <v>0.5</v>
      </c>
      <c r="G7" s="1">
        <v>0.5</v>
      </c>
      <c r="H7" s="1">
        <v>0</v>
      </c>
      <c r="I7" s="1">
        <v>0.75</v>
      </c>
      <c r="J7" s="1">
        <v>0</v>
      </c>
      <c r="K7" s="1">
        <v>0.5</v>
      </c>
      <c r="M7">
        <f t="shared" si="0"/>
        <v>-2.7453858672771023</v>
      </c>
      <c r="N7" s="6">
        <f t="shared" si="1"/>
        <v>0.70888157894736847</v>
      </c>
      <c r="O7" s="5">
        <f t="shared" si="1"/>
        <v>9.8850067738028791E-2</v>
      </c>
    </row>
    <row r="8" spans="1:15" x14ac:dyDescent="0.25">
      <c r="A8" s="4">
        <v>205</v>
      </c>
      <c r="B8" s="4">
        <v>1</v>
      </c>
      <c r="C8" s="2">
        <v>0.625</v>
      </c>
      <c r="D8" s="2">
        <v>1</v>
      </c>
      <c r="E8" s="1">
        <v>0.75</v>
      </c>
      <c r="F8" s="1">
        <v>1</v>
      </c>
      <c r="G8" s="1">
        <v>0</v>
      </c>
      <c r="H8" s="1">
        <v>0.5</v>
      </c>
      <c r="I8" s="1">
        <v>0.5</v>
      </c>
      <c r="J8" s="1">
        <v>1</v>
      </c>
      <c r="K8" s="1">
        <v>0.25</v>
      </c>
      <c r="M8">
        <f t="shared" si="0"/>
        <v>-0.84857381352201378</v>
      </c>
      <c r="N8" s="6">
        <f t="shared" si="1"/>
        <v>0.70888157894736847</v>
      </c>
      <c r="O8" s="5">
        <f t="shared" si="1"/>
        <v>9.8850067738028791E-2</v>
      </c>
    </row>
    <row r="9" spans="1:15" x14ac:dyDescent="0.25">
      <c r="A9" s="4">
        <v>206</v>
      </c>
      <c r="B9" s="4">
        <v>1</v>
      </c>
      <c r="C9" s="2">
        <v>0.71875</v>
      </c>
      <c r="D9" s="2">
        <v>1</v>
      </c>
      <c r="E9" s="1">
        <v>0.5</v>
      </c>
      <c r="F9" s="1">
        <v>1</v>
      </c>
      <c r="G9" s="1">
        <v>0.75</v>
      </c>
      <c r="H9" s="1">
        <v>0.75</v>
      </c>
      <c r="I9" s="1">
        <v>0.25</v>
      </c>
      <c r="J9" s="1">
        <v>1</v>
      </c>
      <c r="K9" s="1">
        <v>0.5</v>
      </c>
      <c r="M9">
        <f t="shared" si="0"/>
        <v>9.9832213355530441E-2</v>
      </c>
      <c r="N9" s="6">
        <f t="shared" si="1"/>
        <v>0.70888157894736847</v>
      </c>
      <c r="O9" s="5">
        <f t="shared" si="1"/>
        <v>9.8850067738028791E-2</v>
      </c>
    </row>
    <row r="10" spans="1:15" x14ac:dyDescent="0.25">
      <c r="A10" s="4">
        <v>207</v>
      </c>
      <c r="B10" s="4">
        <v>1</v>
      </c>
      <c r="C10" s="2">
        <v>0.75</v>
      </c>
      <c r="D10" s="2">
        <v>1</v>
      </c>
      <c r="E10" s="1">
        <v>0.75</v>
      </c>
      <c r="F10" s="1">
        <v>1</v>
      </c>
      <c r="G10" s="1">
        <v>0.5</v>
      </c>
      <c r="H10" s="1">
        <v>1</v>
      </c>
      <c r="I10" s="1">
        <v>0.5</v>
      </c>
      <c r="J10" s="1">
        <v>0.75</v>
      </c>
      <c r="K10" s="1">
        <v>0.5</v>
      </c>
      <c r="M10">
        <f t="shared" si="0"/>
        <v>0.41596755564804516</v>
      </c>
      <c r="N10" s="6">
        <f t="shared" si="1"/>
        <v>0.70888157894736847</v>
      </c>
      <c r="O10" s="5">
        <f t="shared" si="1"/>
        <v>9.8850067738028791E-2</v>
      </c>
    </row>
    <row r="11" spans="1:15" x14ac:dyDescent="0.25">
      <c r="A11" s="4">
        <v>212</v>
      </c>
      <c r="B11" s="4">
        <v>1</v>
      </c>
      <c r="C11" s="2">
        <v>0.8125</v>
      </c>
      <c r="D11" s="2">
        <v>1</v>
      </c>
      <c r="E11" s="1">
        <v>1</v>
      </c>
      <c r="F11" s="1">
        <v>0.75</v>
      </c>
      <c r="G11" s="1">
        <v>0.75</v>
      </c>
      <c r="H11" s="1">
        <v>0.75</v>
      </c>
      <c r="I11" s="1">
        <v>0.75</v>
      </c>
      <c r="J11" s="1">
        <v>1</v>
      </c>
      <c r="K11" s="1">
        <v>0.5</v>
      </c>
      <c r="M11">
        <f t="shared" si="0"/>
        <v>1.0482382402330748</v>
      </c>
      <c r="N11" s="6">
        <f t="shared" si="1"/>
        <v>0.70888157894736847</v>
      </c>
      <c r="O11" s="5">
        <f t="shared" si="1"/>
        <v>9.8850067738028791E-2</v>
      </c>
    </row>
    <row r="12" spans="1:15" x14ac:dyDescent="0.25">
      <c r="A12" s="4">
        <v>214</v>
      </c>
      <c r="B12" s="4">
        <v>1</v>
      </c>
      <c r="C12" s="2">
        <v>0.71875</v>
      </c>
      <c r="D12" s="2">
        <v>1</v>
      </c>
      <c r="E12" s="1">
        <v>1</v>
      </c>
      <c r="F12" s="1">
        <v>0.25</v>
      </c>
      <c r="G12" s="1">
        <v>0.75</v>
      </c>
      <c r="H12" s="1">
        <v>0.75</v>
      </c>
      <c r="I12" s="1">
        <v>0.5</v>
      </c>
      <c r="J12" s="1">
        <v>0.75</v>
      </c>
      <c r="K12" s="1">
        <v>0.75</v>
      </c>
      <c r="M12">
        <f t="shared" si="0"/>
        <v>9.9832213355530441E-2</v>
      </c>
      <c r="N12" s="6">
        <f t="shared" si="1"/>
        <v>0.70888157894736847</v>
      </c>
      <c r="O12" s="5">
        <f t="shared" si="1"/>
        <v>9.8850067738028791E-2</v>
      </c>
    </row>
    <row r="13" spans="1:15" x14ac:dyDescent="0.25">
      <c r="A13" s="4">
        <v>216</v>
      </c>
      <c r="B13" s="4">
        <v>1</v>
      </c>
      <c r="C13" s="2">
        <v>0.8125</v>
      </c>
      <c r="D13" s="2">
        <v>1</v>
      </c>
      <c r="E13" s="1">
        <v>0.5</v>
      </c>
      <c r="F13" s="1">
        <v>1</v>
      </c>
      <c r="G13" s="1">
        <v>1</v>
      </c>
      <c r="H13" s="1">
        <v>1</v>
      </c>
      <c r="I13" s="1">
        <v>0.75</v>
      </c>
      <c r="J13" s="1">
        <v>1</v>
      </c>
      <c r="K13" s="1">
        <v>0.25</v>
      </c>
      <c r="M13">
        <f t="shared" si="0"/>
        <v>1.0482382402330748</v>
      </c>
      <c r="N13" s="6">
        <f t="shared" si="1"/>
        <v>0.70888157894736847</v>
      </c>
      <c r="O13" s="5">
        <f t="shared" si="1"/>
        <v>9.8850067738028791E-2</v>
      </c>
    </row>
    <row r="14" spans="1:15" x14ac:dyDescent="0.25">
      <c r="A14" s="4">
        <v>219</v>
      </c>
      <c r="B14" s="4">
        <v>1</v>
      </c>
      <c r="C14" s="2">
        <v>0.75</v>
      </c>
      <c r="D14" s="2">
        <v>0.75</v>
      </c>
      <c r="E14" s="1">
        <v>0.75</v>
      </c>
      <c r="F14" s="1">
        <v>1</v>
      </c>
      <c r="G14" s="1">
        <v>0.5</v>
      </c>
      <c r="H14" s="1">
        <v>0.75</v>
      </c>
      <c r="I14" s="1">
        <v>0.75</v>
      </c>
      <c r="J14" s="1">
        <v>1</v>
      </c>
      <c r="K14" s="1">
        <v>0.5</v>
      </c>
      <c r="M14">
        <f t="shared" si="0"/>
        <v>0.41596755564804516</v>
      </c>
      <c r="N14" s="6">
        <f t="shared" si="1"/>
        <v>0.70888157894736847</v>
      </c>
      <c r="O14" s="5">
        <f t="shared" si="1"/>
        <v>9.8850067738028791E-2</v>
      </c>
    </row>
    <row r="15" spans="1:15" x14ac:dyDescent="0.25">
      <c r="A15" s="4">
        <v>224</v>
      </c>
      <c r="B15" s="4">
        <v>1</v>
      </c>
      <c r="C15" s="2">
        <v>0.6875</v>
      </c>
      <c r="D15" s="2">
        <v>1</v>
      </c>
      <c r="E15" s="1">
        <v>0.75</v>
      </c>
      <c r="F15" s="1">
        <v>1</v>
      </c>
      <c r="G15" s="1">
        <v>0.25</v>
      </c>
      <c r="H15" s="1">
        <v>1</v>
      </c>
      <c r="I15" s="1">
        <v>0.5</v>
      </c>
      <c r="J15" s="1">
        <v>0.5</v>
      </c>
      <c r="K15" s="1">
        <v>0.5</v>
      </c>
      <c r="M15">
        <f t="shared" si="0"/>
        <v>-0.21630312893698431</v>
      </c>
      <c r="N15" s="6">
        <f t="shared" si="1"/>
        <v>0.70888157894736847</v>
      </c>
      <c r="O15" s="5">
        <f t="shared" si="1"/>
        <v>9.8850067738028791E-2</v>
      </c>
    </row>
    <row r="16" spans="1:15" x14ac:dyDescent="0.25">
      <c r="A16" s="4">
        <v>226</v>
      </c>
      <c r="B16" s="4">
        <v>1</v>
      </c>
      <c r="C16" s="2">
        <v>0.8125</v>
      </c>
      <c r="D16" s="2">
        <v>1</v>
      </c>
      <c r="E16" s="1">
        <v>1</v>
      </c>
      <c r="F16" s="1">
        <v>1</v>
      </c>
      <c r="G16" s="1">
        <v>1</v>
      </c>
      <c r="H16" s="1">
        <v>1</v>
      </c>
      <c r="I16" s="1">
        <v>0.5</v>
      </c>
      <c r="J16" s="1">
        <v>0.75</v>
      </c>
      <c r="K16" s="1">
        <v>0.25</v>
      </c>
      <c r="M16">
        <f t="shared" si="0"/>
        <v>1.0482382402330748</v>
      </c>
      <c r="N16" s="6">
        <f t="shared" si="1"/>
        <v>0.70888157894736847</v>
      </c>
      <c r="O16" s="5">
        <f t="shared" si="1"/>
        <v>9.8850067738028791E-2</v>
      </c>
    </row>
    <row r="17" spans="1:15" x14ac:dyDescent="0.25">
      <c r="A17" s="4">
        <v>228</v>
      </c>
      <c r="B17" s="4">
        <v>1</v>
      </c>
      <c r="C17" s="2">
        <v>0.6875</v>
      </c>
      <c r="D17" s="2">
        <v>1</v>
      </c>
      <c r="E17" s="1">
        <v>1</v>
      </c>
      <c r="F17" s="1">
        <v>0.5</v>
      </c>
      <c r="G17" s="1">
        <v>0.5</v>
      </c>
      <c r="H17" s="1">
        <v>0.75</v>
      </c>
      <c r="I17" s="1">
        <v>0.5</v>
      </c>
      <c r="J17" s="1">
        <v>0.75</v>
      </c>
      <c r="K17" s="1">
        <v>0.5</v>
      </c>
      <c r="M17">
        <f t="shared" si="0"/>
        <v>-0.21630312893698431</v>
      </c>
      <c r="N17" s="6">
        <f t="shared" si="1"/>
        <v>0.70888157894736847</v>
      </c>
      <c r="O17" s="5">
        <f t="shared" si="1"/>
        <v>9.8850067738028791E-2</v>
      </c>
    </row>
    <row r="18" spans="1:15" x14ac:dyDescent="0.25">
      <c r="A18" s="4">
        <v>229</v>
      </c>
      <c r="B18" s="4">
        <v>1</v>
      </c>
      <c r="C18" s="2">
        <v>0.78125</v>
      </c>
      <c r="D18" s="2">
        <v>1</v>
      </c>
      <c r="E18" s="1">
        <v>1</v>
      </c>
      <c r="F18" s="1">
        <v>1</v>
      </c>
      <c r="G18" s="1">
        <v>0.75</v>
      </c>
      <c r="H18" s="1">
        <v>1</v>
      </c>
      <c r="I18" s="1">
        <v>0.25</v>
      </c>
      <c r="J18" s="1">
        <v>0.75</v>
      </c>
      <c r="K18" s="1">
        <v>0.5</v>
      </c>
      <c r="M18">
        <f t="shared" si="0"/>
        <v>0.73210289794055994</v>
      </c>
      <c r="N18" s="6">
        <f t="shared" si="1"/>
        <v>0.70888157894736847</v>
      </c>
      <c r="O18" s="5">
        <f t="shared" si="1"/>
        <v>9.8850067738028791E-2</v>
      </c>
    </row>
    <row r="19" spans="1:15" x14ac:dyDescent="0.25">
      <c r="A19" s="4">
        <v>230</v>
      </c>
      <c r="B19" s="4">
        <v>1</v>
      </c>
      <c r="C19" s="2">
        <v>0.59375</v>
      </c>
      <c r="D19" s="2">
        <v>0.75</v>
      </c>
      <c r="E19" s="1">
        <v>1</v>
      </c>
      <c r="F19" s="1">
        <v>1</v>
      </c>
      <c r="G19" s="1">
        <v>0.25</v>
      </c>
      <c r="H19" s="1">
        <v>0.5</v>
      </c>
      <c r="I19" s="1">
        <v>0.75</v>
      </c>
      <c r="J19" s="1">
        <v>0.25</v>
      </c>
      <c r="K19" s="1">
        <v>0.25</v>
      </c>
      <c r="M19">
        <f t="shared" si="0"/>
        <v>-1.1647091558145286</v>
      </c>
      <c r="N19" s="6">
        <f t="shared" si="1"/>
        <v>0.70888157894736847</v>
      </c>
      <c r="O19" s="5">
        <f t="shared" si="1"/>
        <v>9.8850067738028791E-2</v>
      </c>
    </row>
    <row r="20" spans="1:15" x14ac:dyDescent="0.25">
      <c r="A20" s="7">
        <v>254</v>
      </c>
      <c r="B20" s="7">
        <v>1</v>
      </c>
      <c r="C20" s="12">
        <v>0.6875</v>
      </c>
      <c r="D20" s="12">
        <v>0.75</v>
      </c>
      <c r="E20" s="11">
        <v>0.5</v>
      </c>
      <c r="F20" s="11">
        <v>1</v>
      </c>
      <c r="G20" s="11">
        <v>0.5</v>
      </c>
      <c r="H20" s="11">
        <v>1</v>
      </c>
      <c r="I20" s="11">
        <v>0.5</v>
      </c>
      <c r="J20" s="11">
        <v>0.75</v>
      </c>
      <c r="K20" s="11">
        <v>0.5</v>
      </c>
      <c r="M20" s="8">
        <f t="shared" si="0"/>
        <v>-0.21630312893698431</v>
      </c>
      <c r="N20" s="9">
        <f t="shared" ref="N20:O35" si="2">N19</f>
        <v>0.70888157894736847</v>
      </c>
      <c r="O20" s="10">
        <f t="shared" si="2"/>
        <v>9.8850067738028791E-2</v>
      </c>
    </row>
    <row r="21" spans="1:15" x14ac:dyDescent="0.25">
      <c r="A21" s="4">
        <v>103</v>
      </c>
      <c r="B21" s="4">
        <v>2</v>
      </c>
      <c r="C21" s="2">
        <v>0.75</v>
      </c>
      <c r="D21" s="2">
        <v>1</v>
      </c>
      <c r="E21" s="1">
        <v>1</v>
      </c>
      <c r="F21" s="1">
        <v>1</v>
      </c>
      <c r="G21" s="1">
        <v>0.5</v>
      </c>
      <c r="H21" s="1">
        <v>1</v>
      </c>
      <c r="I21" s="1">
        <v>0.25</v>
      </c>
      <c r="J21" s="1">
        <v>1</v>
      </c>
      <c r="K21" s="1">
        <v>0.25</v>
      </c>
      <c r="M21">
        <f>(C21-N21)/O21</f>
        <v>0.71649463587703299</v>
      </c>
      <c r="N21" s="6">
        <f>AVERAGE(C21:C39)</f>
        <v>0.63651315789473684</v>
      </c>
      <c r="O21" s="5">
        <f>STDEV(C21:C39)</f>
        <v>0.1583917539959645</v>
      </c>
    </row>
    <row r="22" spans="1:15" x14ac:dyDescent="0.25">
      <c r="A22" s="4">
        <v>104</v>
      </c>
      <c r="B22" s="4">
        <v>2</v>
      </c>
      <c r="C22" s="2">
        <v>0.8125</v>
      </c>
      <c r="D22" s="2">
        <v>1</v>
      </c>
      <c r="E22" s="1">
        <v>1</v>
      </c>
      <c r="F22" s="1">
        <v>1</v>
      </c>
      <c r="G22" s="1">
        <v>1</v>
      </c>
      <c r="H22" s="1">
        <v>1</v>
      </c>
      <c r="I22" s="1">
        <v>0.75</v>
      </c>
      <c r="J22" s="1">
        <v>0.5</v>
      </c>
      <c r="K22" s="1">
        <v>0.25</v>
      </c>
      <c r="M22">
        <f t="shared" ref="M22:M39" si="3">(C22-N22)/O22</f>
        <v>1.1110858846209062</v>
      </c>
      <c r="N22" s="6">
        <f t="shared" si="2"/>
        <v>0.63651315789473684</v>
      </c>
      <c r="O22" s="5">
        <f t="shared" si="2"/>
        <v>0.1583917539959645</v>
      </c>
    </row>
    <row r="23" spans="1:15" x14ac:dyDescent="0.25">
      <c r="A23" s="4">
        <v>108</v>
      </c>
      <c r="B23" s="4">
        <v>2</v>
      </c>
      <c r="C23" s="2">
        <v>0.25</v>
      </c>
      <c r="D23" s="2">
        <v>0</v>
      </c>
      <c r="E23" s="1">
        <v>0</v>
      </c>
      <c r="F23" s="1">
        <v>0.25</v>
      </c>
      <c r="G23" s="1">
        <v>0.5</v>
      </c>
      <c r="H23" s="1">
        <v>0.25</v>
      </c>
      <c r="I23" s="1">
        <v>0.5</v>
      </c>
      <c r="J23" s="1">
        <v>0</v>
      </c>
      <c r="K23" s="1">
        <v>0.5</v>
      </c>
      <c r="M23">
        <f t="shared" si="3"/>
        <v>-2.4402353540739528</v>
      </c>
      <c r="N23" s="6">
        <f t="shared" si="2"/>
        <v>0.63651315789473684</v>
      </c>
      <c r="O23" s="5">
        <f t="shared" si="2"/>
        <v>0.1583917539959645</v>
      </c>
    </row>
    <row r="24" spans="1:15" x14ac:dyDescent="0.25">
      <c r="A24" s="4">
        <v>151</v>
      </c>
      <c r="B24" s="4">
        <v>2</v>
      </c>
      <c r="C24" s="2">
        <v>0.78125</v>
      </c>
      <c r="D24" s="2">
        <v>0.75</v>
      </c>
      <c r="E24" s="1">
        <v>0.75</v>
      </c>
      <c r="F24" s="1">
        <v>0.75</v>
      </c>
      <c r="G24" s="1">
        <v>0.75</v>
      </c>
      <c r="H24" s="1">
        <v>1</v>
      </c>
      <c r="I24" s="1">
        <v>0.75</v>
      </c>
      <c r="J24" s="1">
        <v>0.75</v>
      </c>
      <c r="K24" s="1">
        <v>0.75</v>
      </c>
      <c r="M24">
        <f t="shared" si="3"/>
        <v>0.91379026024896959</v>
      </c>
      <c r="N24" s="6">
        <f t="shared" si="2"/>
        <v>0.63651315789473684</v>
      </c>
      <c r="O24" s="5">
        <f t="shared" si="2"/>
        <v>0.1583917539959645</v>
      </c>
    </row>
    <row r="25" spans="1:15" x14ac:dyDescent="0.25">
      <c r="A25" s="4">
        <v>153</v>
      </c>
      <c r="B25" s="4">
        <v>2</v>
      </c>
      <c r="C25" s="2">
        <v>0.53125</v>
      </c>
      <c r="D25" s="2">
        <v>1</v>
      </c>
      <c r="E25" s="1">
        <v>0.75</v>
      </c>
      <c r="F25" s="1">
        <v>0.5</v>
      </c>
      <c r="G25" s="1">
        <v>0.25</v>
      </c>
      <c r="H25" s="1">
        <v>0.5</v>
      </c>
      <c r="I25" s="1">
        <v>0.5</v>
      </c>
      <c r="J25" s="1">
        <v>0.75</v>
      </c>
      <c r="K25" s="1">
        <v>0</v>
      </c>
      <c r="M25">
        <f t="shared" si="3"/>
        <v>-0.66457473472652329</v>
      </c>
      <c r="N25" s="6">
        <f t="shared" si="2"/>
        <v>0.63651315789473684</v>
      </c>
      <c r="O25" s="5">
        <f t="shared" si="2"/>
        <v>0.1583917539959645</v>
      </c>
    </row>
    <row r="26" spans="1:15" x14ac:dyDescent="0.25">
      <c r="A26" s="4">
        <v>154</v>
      </c>
      <c r="B26" s="4">
        <v>2</v>
      </c>
      <c r="C26" s="2">
        <v>0.46875</v>
      </c>
      <c r="D26" s="2">
        <v>0.5</v>
      </c>
      <c r="E26" s="1">
        <v>0.5</v>
      </c>
      <c r="F26" s="1">
        <v>0.5</v>
      </c>
      <c r="G26" s="1">
        <v>0.75</v>
      </c>
      <c r="H26" s="1">
        <v>0.25</v>
      </c>
      <c r="I26" s="1">
        <v>0.5</v>
      </c>
      <c r="J26" s="1">
        <v>0.25</v>
      </c>
      <c r="K26" s="1">
        <v>0.5</v>
      </c>
      <c r="M26">
        <f t="shared" si="3"/>
        <v>-1.0591659834703964</v>
      </c>
      <c r="N26" s="6">
        <f t="shared" si="2"/>
        <v>0.63651315789473684</v>
      </c>
      <c r="O26" s="5">
        <f t="shared" si="2"/>
        <v>0.1583917539959645</v>
      </c>
    </row>
    <row r="27" spans="1:15" x14ac:dyDescent="0.25">
      <c r="A27" s="4">
        <v>201</v>
      </c>
      <c r="B27" s="4">
        <v>2</v>
      </c>
      <c r="C27" s="2">
        <v>0.59375</v>
      </c>
      <c r="D27" s="2">
        <v>1</v>
      </c>
      <c r="E27" s="1">
        <v>0.75</v>
      </c>
      <c r="F27" s="1">
        <v>1</v>
      </c>
      <c r="G27" s="1">
        <v>0</v>
      </c>
      <c r="H27" s="1">
        <v>0.75</v>
      </c>
      <c r="I27" s="1">
        <v>0.25</v>
      </c>
      <c r="J27" s="1">
        <v>1</v>
      </c>
      <c r="K27" s="1">
        <v>0</v>
      </c>
      <c r="M27">
        <f t="shared" si="3"/>
        <v>-0.26998348598265004</v>
      </c>
      <c r="N27" s="6">
        <f t="shared" si="2"/>
        <v>0.63651315789473684</v>
      </c>
      <c r="O27" s="5">
        <f t="shared" si="2"/>
        <v>0.1583917539959645</v>
      </c>
    </row>
    <row r="28" spans="1:15" x14ac:dyDescent="0.25">
      <c r="A28" s="4">
        <v>202</v>
      </c>
      <c r="B28" s="4">
        <v>2</v>
      </c>
      <c r="C28" s="2">
        <v>0.625</v>
      </c>
      <c r="D28" s="2">
        <v>1</v>
      </c>
      <c r="E28" s="1">
        <v>0.75</v>
      </c>
      <c r="F28" s="1">
        <v>1</v>
      </c>
      <c r="G28" s="1">
        <v>0</v>
      </c>
      <c r="H28" s="1">
        <v>1</v>
      </c>
      <c r="I28" s="1">
        <v>0</v>
      </c>
      <c r="J28" s="1">
        <v>1</v>
      </c>
      <c r="K28" s="1">
        <v>0.25</v>
      </c>
      <c r="M28">
        <f t="shared" si="3"/>
        <v>-7.2687861610713445E-2</v>
      </c>
      <c r="N28" s="6">
        <f t="shared" si="2"/>
        <v>0.63651315789473684</v>
      </c>
      <c r="O28" s="5">
        <f t="shared" si="2"/>
        <v>0.1583917539959645</v>
      </c>
    </row>
    <row r="29" spans="1:15" x14ac:dyDescent="0.25">
      <c r="A29" s="4">
        <v>203</v>
      </c>
      <c r="B29" s="4">
        <v>2</v>
      </c>
      <c r="C29" s="2">
        <v>0.6875</v>
      </c>
      <c r="D29" s="2">
        <v>1</v>
      </c>
      <c r="E29" s="1">
        <v>0.25</v>
      </c>
      <c r="F29" s="1">
        <v>1</v>
      </c>
      <c r="G29" s="1">
        <v>0.5</v>
      </c>
      <c r="H29" s="1">
        <v>0.75</v>
      </c>
      <c r="I29" s="1">
        <v>0.5</v>
      </c>
      <c r="J29" s="1">
        <v>1</v>
      </c>
      <c r="K29" s="1">
        <v>0.5</v>
      </c>
      <c r="M29">
        <f t="shared" si="3"/>
        <v>0.32190338713315975</v>
      </c>
      <c r="N29" s="6">
        <f t="shared" si="2"/>
        <v>0.63651315789473684</v>
      </c>
      <c r="O29" s="5">
        <f t="shared" si="2"/>
        <v>0.1583917539959645</v>
      </c>
    </row>
    <row r="30" spans="1:15" x14ac:dyDescent="0.25">
      <c r="A30" s="4">
        <v>210</v>
      </c>
      <c r="B30" s="4">
        <v>2</v>
      </c>
      <c r="C30" s="2">
        <v>0.71875</v>
      </c>
      <c r="D30" s="2">
        <v>1</v>
      </c>
      <c r="E30" s="1">
        <v>1</v>
      </c>
      <c r="F30" s="1">
        <v>1</v>
      </c>
      <c r="G30" s="1">
        <v>0.75</v>
      </c>
      <c r="H30" s="1">
        <v>0.5</v>
      </c>
      <c r="I30" s="1">
        <v>0.75</v>
      </c>
      <c r="J30" s="1">
        <v>0.25</v>
      </c>
      <c r="K30" s="1">
        <v>0.5</v>
      </c>
      <c r="M30">
        <f t="shared" si="3"/>
        <v>0.5191990115050964</v>
      </c>
      <c r="N30" s="6">
        <f t="shared" si="2"/>
        <v>0.63651315789473684</v>
      </c>
      <c r="O30" s="5">
        <f t="shared" si="2"/>
        <v>0.1583917539959645</v>
      </c>
    </row>
    <row r="31" spans="1:15" x14ac:dyDescent="0.25">
      <c r="A31" s="4">
        <v>213</v>
      </c>
      <c r="B31" s="4">
        <v>2</v>
      </c>
      <c r="C31" s="2">
        <v>0.65625</v>
      </c>
      <c r="D31" s="2">
        <v>1</v>
      </c>
      <c r="E31" s="1">
        <v>0.75</v>
      </c>
      <c r="F31" s="1">
        <v>0.75</v>
      </c>
      <c r="G31" s="1">
        <v>0.75</v>
      </c>
      <c r="H31" s="1">
        <v>1</v>
      </c>
      <c r="I31" s="1">
        <v>0.25</v>
      </c>
      <c r="J31" s="1">
        <v>0.5</v>
      </c>
      <c r="K31" s="1">
        <v>0.25</v>
      </c>
      <c r="M31">
        <f t="shared" si="3"/>
        <v>0.12460776276122315</v>
      </c>
      <c r="N31" s="6">
        <f t="shared" si="2"/>
        <v>0.63651315789473684</v>
      </c>
      <c r="O31" s="5">
        <f t="shared" si="2"/>
        <v>0.1583917539959645</v>
      </c>
    </row>
    <row r="32" spans="1:15" x14ac:dyDescent="0.25">
      <c r="A32" s="4">
        <v>220</v>
      </c>
      <c r="B32" s="4">
        <v>2</v>
      </c>
      <c r="C32" s="2">
        <v>0.625</v>
      </c>
      <c r="D32" s="2">
        <v>1</v>
      </c>
      <c r="E32" s="1">
        <v>0.5</v>
      </c>
      <c r="F32" s="1">
        <v>0.75</v>
      </c>
      <c r="G32" s="1">
        <v>0.5</v>
      </c>
      <c r="H32" s="1">
        <v>0.75</v>
      </c>
      <c r="I32" s="1">
        <v>0.25</v>
      </c>
      <c r="J32" s="1">
        <v>0.75</v>
      </c>
      <c r="K32" s="1">
        <v>0.5</v>
      </c>
      <c r="M32">
        <f t="shared" si="3"/>
        <v>-7.2687861610713445E-2</v>
      </c>
      <c r="N32" s="6">
        <f t="shared" si="2"/>
        <v>0.63651315789473684</v>
      </c>
      <c r="O32" s="5">
        <f t="shared" si="2"/>
        <v>0.1583917539959645</v>
      </c>
    </row>
    <row r="33" spans="1:15" x14ac:dyDescent="0.25">
      <c r="A33" s="4">
        <v>221</v>
      </c>
      <c r="B33" s="4">
        <v>2</v>
      </c>
      <c r="C33" s="2">
        <v>0.75</v>
      </c>
      <c r="D33" s="2">
        <v>1</v>
      </c>
      <c r="E33" s="1">
        <v>0.75</v>
      </c>
      <c r="F33" s="1">
        <v>1</v>
      </c>
      <c r="G33" s="1">
        <v>0.5</v>
      </c>
      <c r="H33" s="1">
        <v>1</v>
      </c>
      <c r="I33" s="1">
        <v>0.5</v>
      </c>
      <c r="J33" s="1">
        <v>1</v>
      </c>
      <c r="K33" s="1">
        <v>0.25</v>
      </c>
      <c r="M33">
        <f t="shared" si="3"/>
        <v>0.71649463587703299</v>
      </c>
      <c r="N33" s="6">
        <f t="shared" si="2"/>
        <v>0.63651315789473684</v>
      </c>
      <c r="O33" s="5">
        <f t="shared" si="2"/>
        <v>0.1583917539959645</v>
      </c>
    </row>
    <row r="34" spans="1:15" x14ac:dyDescent="0.25">
      <c r="A34" s="4">
        <v>225</v>
      </c>
      <c r="B34" s="4">
        <v>2</v>
      </c>
      <c r="C34" s="2">
        <v>0.3125</v>
      </c>
      <c r="D34" s="2">
        <v>0.25</v>
      </c>
      <c r="E34" s="1">
        <v>0.25</v>
      </c>
      <c r="F34" s="1">
        <v>0.25</v>
      </c>
      <c r="G34" s="1">
        <v>0.75</v>
      </c>
      <c r="H34" s="1">
        <v>0.25</v>
      </c>
      <c r="I34" s="1">
        <v>0.25</v>
      </c>
      <c r="J34" s="1">
        <v>0</v>
      </c>
      <c r="K34" s="1">
        <v>0.5</v>
      </c>
      <c r="M34">
        <f t="shared" si="3"/>
        <v>-2.0456441053300796</v>
      </c>
      <c r="N34" s="6">
        <f t="shared" si="2"/>
        <v>0.63651315789473684</v>
      </c>
      <c r="O34" s="5">
        <f t="shared" si="2"/>
        <v>0.1583917539959645</v>
      </c>
    </row>
    <row r="35" spans="1:15" x14ac:dyDescent="0.25">
      <c r="A35" s="4">
        <v>231</v>
      </c>
      <c r="B35" s="4">
        <v>2</v>
      </c>
      <c r="C35" s="2">
        <v>0.71875</v>
      </c>
      <c r="D35" s="2">
        <v>1</v>
      </c>
      <c r="E35" s="1">
        <v>1</v>
      </c>
      <c r="F35" s="1">
        <v>1</v>
      </c>
      <c r="G35" s="1">
        <v>0.5</v>
      </c>
      <c r="H35" s="1">
        <v>0.75</v>
      </c>
      <c r="I35" s="1">
        <v>0.25</v>
      </c>
      <c r="J35" s="1">
        <v>0.75</v>
      </c>
      <c r="K35" s="1">
        <v>0.5</v>
      </c>
      <c r="M35">
        <f t="shared" si="3"/>
        <v>0.5191990115050964</v>
      </c>
      <c r="N35" s="6">
        <f t="shared" si="2"/>
        <v>0.63651315789473684</v>
      </c>
      <c r="O35" s="5">
        <f t="shared" si="2"/>
        <v>0.1583917539959645</v>
      </c>
    </row>
    <row r="36" spans="1:15" x14ac:dyDescent="0.25">
      <c r="A36" s="4">
        <v>251</v>
      </c>
      <c r="B36" s="4">
        <v>2</v>
      </c>
      <c r="C36" s="2">
        <v>0.71875</v>
      </c>
      <c r="D36" s="2">
        <v>1</v>
      </c>
      <c r="E36" s="1">
        <v>1</v>
      </c>
      <c r="F36" s="1">
        <v>1</v>
      </c>
      <c r="G36" s="1">
        <v>0.5</v>
      </c>
      <c r="H36" s="1">
        <v>0.75</v>
      </c>
      <c r="I36" s="1">
        <v>0.5</v>
      </c>
      <c r="J36" s="1">
        <v>0.75</v>
      </c>
      <c r="K36" s="1">
        <v>0.25</v>
      </c>
      <c r="M36">
        <f t="shared" si="3"/>
        <v>0.5191990115050964</v>
      </c>
      <c r="N36" s="6">
        <f t="shared" ref="N36:O51" si="4">N35</f>
        <v>0.63651315789473684</v>
      </c>
      <c r="O36" s="5">
        <f t="shared" si="4"/>
        <v>0.1583917539959645</v>
      </c>
    </row>
    <row r="37" spans="1:15" x14ac:dyDescent="0.25">
      <c r="A37" s="4">
        <v>252</v>
      </c>
      <c r="B37" s="4">
        <v>2</v>
      </c>
      <c r="C37" s="2">
        <v>0.8125</v>
      </c>
      <c r="D37" s="2">
        <v>1</v>
      </c>
      <c r="E37" s="1">
        <v>0.75</v>
      </c>
      <c r="F37" s="1">
        <v>1</v>
      </c>
      <c r="G37" s="1">
        <v>0.5</v>
      </c>
      <c r="H37" s="1">
        <v>1</v>
      </c>
      <c r="I37" s="1">
        <v>0.5</v>
      </c>
      <c r="J37" s="1">
        <v>1</v>
      </c>
      <c r="K37" s="1">
        <v>0.75</v>
      </c>
      <c r="M37">
        <f t="shared" si="3"/>
        <v>1.1110858846209062</v>
      </c>
      <c r="N37" s="6">
        <f t="shared" si="4"/>
        <v>0.63651315789473684</v>
      </c>
      <c r="O37" s="5">
        <f t="shared" si="4"/>
        <v>0.1583917539959645</v>
      </c>
    </row>
    <row r="38" spans="1:15" x14ac:dyDescent="0.25">
      <c r="A38" s="4">
        <v>255</v>
      </c>
      <c r="B38" s="4">
        <v>2</v>
      </c>
      <c r="C38" s="2">
        <v>0.75</v>
      </c>
      <c r="D38" s="2">
        <v>1</v>
      </c>
      <c r="E38" s="1">
        <v>1</v>
      </c>
      <c r="F38" s="1">
        <v>1</v>
      </c>
      <c r="G38" s="1">
        <v>1</v>
      </c>
      <c r="H38" s="1">
        <v>0.75</v>
      </c>
      <c r="I38" s="1">
        <v>0.5</v>
      </c>
      <c r="J38" s="1">
        <v>0.75</v>
      </c>
      <c r="K38" s="1">
        <v>0</v>
      </c>
      <c r="M38">
        <f t="shared" si="3"/>
        <v>0.71649463587703299</v>
      </c>
      <c r="N38" s="6">
        <f t="shared" si="4"/>
        <v>0.63651315789473684</v>
      </c>
      <c r="O38" s="5">
        <f t="shared" si="4"/>
        <v>0.1583917539959645</v>
      </c>
    </row>
    <row r="39" spans="1:15" x14ac:dyDescent="0.25">
      <c r="A39" s="7">
        <v>257</v>
      </c>
      <c r="B39" s="7">
        <v>2</v>
      </c>
      <c r="C39" s="12">
        <v>0.53125</v>
      </c>
      <c r="D39" s="12">
        <v>0.5</v>
      </c>
      <c r="E39" s="11">
        <v>0</v>
      </c>
      <c r="F39" s="11">
        <v>0.5</v>
      </c>
      <c r="G39" s="11">
        <v>0.5</v>
      </c>
      <c r="H39" s="11">
        <v>1</v>
      </c>
      <c r="I39" s="11">
        <v>0.25</v>
      </c>
      <c r="J39" s="11">
        <v>1</v>
      </c>
      <c r="K39" s="11">
        <v>0.5</v>
      </c>
      <c r="M39" s="8">
        <f t="shared" si="3"/>
        <v>-0.66457473472652329</v>
      </c>
      <c r="N39" s="9">
        <f t="shared" si="4"/>
        <v>0.63651315789473684</v>
      </c>
      <c r="O39" s="10">
        <f t="shared" si="4"/>
        <v>0.1583917539959645</v>
      </c>
    </row>
    <row r="40" spans="1:15" x14ac:dyDescent="0.25">
      <c r="A40" s="4">
        <v>101</v>
      </c>
      <c r="B40" s="4">
        <v>3</v>
      </c>
      <c r="C40" s="2">
        <v>0.65625</v>
      </c>
      <c r="D40" s="2">
        <v>1</v>
      </c>
      <c r="E40" s="1">
        <v>0.25</v>
      </c>
      <c r="F40" s="1">
        <v>1</v>
      </c>
      <c r="G40" s="1">
        <v>0.5</v>
      </c>
      <c r="H40" s="1">
        <v>0.75</v>
      </c>
      <c r="I40" s="1">
        <v>0.5</v>
      </c>
      <c r="J40" s="1">
        <v>1</v>
      </c>
      <c r="K40" s="1">
        <v>0.25</v>
      </c>
      <c r="M40">
        <f>(C40-N40)/O40</f>
        <v>0.24501078244117244</v>
      </c>
      <c r="N40" s="6">
        <f>AVERAGE(C40:C57)</f>
        <v>0.61284722222222221</v>
      </c>
      <c r="O40" s="5">
        <f>STDEV(C40:C57)</f>
        <v>0.17714639880470925</v>
      </c>
    </row>
    <row r="41" spans="1:15" x14ac:dyDescent="0.25">
      <c r="A41" s="4">
        <v>106</v>
      </c>
      <c r="B41" s="4">
        <v>3</v>
      </c>
      <c r="C41" s="2">
        <v>0.3125</v>
      </c>
      <c r="D41" s="2">
        <v>0</v>
      </c>
      <c r="E41" s="1">
        <v>0.75</v>
      </c>
      <c r="F41" s="1">
        <v>0</v>
      </c>
      <c r="G41" s="1">
        <v>0.25</v>
      </c>
      <c r="H41" s="1">
        <v>0</v>
      </c>
      <c r="I41" s="1">
        <v>1</v>
      </c>
      <c r="J41" s="1">
        <v>0</v>
      </c>
      <c r="K41" s="1">
        <v>0.5</v>
      </c>
      <c r="M41">
        <f t="shared" ref="M41:M57" si="5">(C41-N41)/O41</f>
        <v>-1.6954746144929127</v>
      </c>
      <c r="N41" s="6">
        <f t="shared" si="4"/>
        <v>0.61284722222222221</v>
      </c>
      <c r="O41" s="5">
        <f t="shared" si="4"/>
        <v>0.17714639880470925</v>
      </c>
    </row>
    <row r="42" spans="1:15" x14ac:dyDescent="0.25">
      <c r="A42" s="4">
        <v>107</v>
      </c>
      <c r="B42" s="4">
        <v>3</v>
      </c>
      <c r="C42" s="2">
        <v>0.65625</v>
      </c>
      <c r="D42" s="2">
        <v>1</v>
      </c>
      <c r="E42" s="1">
        <v>0.5</v>
      </c>
      <c r="F42" s="1">
        <v>0.75</v>
      </c>
      <c r="G42" s="1">
        <v>0.5</v>
      </c>
      <c r="H42" s="1">
        <v>1</v>
      </c>
      <c r="I42" s="1">
        <v>0.5</v>
      </c>
      <c r="J42" s="1">
        <v>1</v>
      </c>
      <c r="K42" s="1">
        <v>0</v>
      </c>
      <c r="M42">
        <f t="shared" si="5"/>
        <v>0.24501078244117244</v>
      </c>
      <c r="N42" s="6">
        <f t="shared" si="4"/>
        <v>0.61284722222222221</v>
      </c>
      <c r="O42" s="5">
        <f t="shared" si="4"/>
        <v>0.17714639880470925</v>
      </c>
    </row>
    <row r="43" spans="1:15" x14ac:dyDescent="0.25">
      <c r="A43" s="4">
        <v>109</v>
      </c>
      <c r="B43" s="4">
        <v>3</v>
      </c>
      <c r="C43" s="2">
        <v>0.78125</v>
      </c>
      <c r="D43" s="2">
        <v>0.75</v>
      </c>
      <c r="E43" s="1">
        <v>0.75</v>
      </c>
      <c r="F43" s="1">
        <v>0.75</v>
      </c>
      <c r="G43" s="1">
        <v>0.75</v>
      </c>
      <c r="H43" s="1">
        <v>1</v>
      </c>
      <c r="I43" s="1">
        <v>0.25</v>
      </c>
      <c r="J43" s="1">
        <v>1</v>
      </c>
      <c r="K43" s="1">
        <v>1</v>
      </c>
      <c r="M43">
        <f t="shared" si="5"/>
        <v>0.95064183587174889</v>
      </c>
      <c r="N43" s="6">
        <f t="shared" si="4"/>
        <v>0.61284722222222221</v>
      </c>
      <c r="O43" s="5">
        <f t="shared" si="4"/>
        <v>0.17714639880470925</v>
      </c>
    </row>
    <row r="44" spans="1:15" x14ac:dyDescent="0.25">
      <c r="A44" s="4">
        <v>156</v>
      </c>
      <c r="B44" s="4">
        <v>3</v>
      </c>
      <c r="C44" s="2">
        <v>0.6875</v>
      </c>
      <c r="D44" s="2">
        <v>0.75</v>
      </c>
      <c r="E44" s="1">
        <v>0.75</v>
      </c>
      <c r="F44" s="1">
        <v>0.5</v>
      </c>
      <c r="G44" s="1">
        <v>0.75</v>
      </c>
      <c r="H44" s="1">
        <v>1</v>
      </c>
      <c r="I44" s="1">
        <v>0.5</v>
      </c>
      <c r="J44" s="1">
        <v>0.75</v>
      </c>
      <c r="K44" s="1">
        <v>0.5</v>
      </c>
      <c r="M44">
        <f t="shared" si="5"/>
        <v>0.42141854579881655</v>
      </c>
      <c r="N44" s="6">
        <f t="shared" si="4"/>
        <v>0.61284722222222221</v>
      </c>
      <c r="O44" s="5">
        <f t="shared" si="4"/>
        <v>0.17714639880470925</v>
      </c>
    </row>
    <row r="45" spans="1:15" x14ac:dyDescent="0.25">
      <c r="A45" s="4">
        <v>204</v>
      </c>
      <c r="B45" s="4">
        <v>3</v>
      </c>
      <c r="C45" s="2">
        <v>0.3125</v>
      </c>
      <c r="D45" s="2">
        <v>0.5</v>
      </c>
      <c r="E45" s="1">
        <v>0.25</v>
      </c>
      <c r="F45" s="1">
        <v>0.25</v>
      </c>
      <c r="G45" s="1">
        <v>0.25</v>
      </c>
      <c r="H45" s="1">
        <v>0</v>
      </c>
      <c r="I45" s="1">
        <v>0.25</v>
      </c>
      <c r="J45" s="1">
        <v>0.25</v>
      </c>
      <c r="K45" s="1">
        <v>0.75</v>
      </c>
      <c r="M45">
        <f t="shared" si="5"/>
        <v>-1.6954746144929127</v>
      </c>
      <c r="N45" s="6">
        <f t="shared" si="4"/>
        <v>0.61284722222222221</v>
      </c>
      <c r="O45" s="5">
        <f t="shared" si="4"/>
        <v>0.17714639880470925</v>
      </c>
    </row>
    <row r="46" spans="1:15" x14ac:dyDescent="0.25">
      <c r="A46" s="4">
        <v>208</v>
      </c>
      <c r="B46" s="4">
        <v>3</v>
      </c>
      <c r="C46" s="2">
        <v>0.40625</v>
      </c>
      <c r="D46" s="2">
        <v>0</v>
      </c>
      <c r="E46" s="1">
        <v>0.5</v>
      </c>
      <c r="F46" s="1">
        <v>0.25</v>
      </c>
      <c r="G46" s="1">
        <v>0.75</v>
      </c>
      <c r="H46" s="1">
        <v>0</v>
      </c>
      <c r="I46" s="1">
        <v>0.75</v>
      </c>
      <c r="J46" s="1">
        <v>0.25</v>
      </c>
      <c r="K46" s="1">
        <v>0.75</v>
      </c>
      <c r="M46">
        <f t="shared" si="5"/>
        <v>-1.1662513244199804</v>
      </c>
      <c r="N46" s="6">
        <f t="shared" si="4"/>
        <v>0.61284722222222221</v>
      </c>
      <c r="O46" s="5">
        <f t="shared" si="4"/>
        <v>0.17714639880470925</v>
      </c>
    </row>
    <row r="47" spans="1:15" x14ac:dyDescent="0.25">
      <c r="A47" s="4">
        <v>209</v>
      </c>
      <c r="B47" s="4">
        <v>3</v>
      </c>
      <c r="C47" s="2">
        <v>0.71875</v>
      </c>
      <c r="D47" s="2">
        <v>1</v>
      </c>
      <c r="E47" s="1">
        <v>0.25</v>
      </c>
      <c r="F47" s="1">
        <v>1</v>
      </c>
      <c r="G47" s="1">
        <v>0.5</v>
      </c>
      <c r="H47" s="1">
        <v>1</v>
      </c>
      <c r="I47" s="1">
        <v>0.75</v>
      </c>
      <c r="J47" s="1">
        <v>1</v>
      </c>
      <c r="K47" s="1">
        <v>0.25</v>
      </c>
      <c r="M47">
        <f t="shared" si="5"/>
        <v>0.59782630915646062</v>
      </c>
      <c r="N47" s="6">
        <f t="shared" si="4"/>
        <v>0.61284722222222221</v>
      </c>
      <c r="O47" s="5">
        <f t="shared" si="4"/>
        <v>0.17714639880470925</v>
      </c>
    </row>
    <row r="48" spans="1:15" x14ac:dyDescent="0.25">
      <c r="A48" s="4">
        <v>211</v>
      </c>
      <c r="B48" s="4">
        <v>3</v>
      </c>
      <c r="C48" s="2">
        <v>0.3125</v>
      </c>
      <c r="D48" s="2">
        <v>0</v>
      </c>
      <c r="E48" s="1">
        <v>0.25</v>
      </c>
      <c r="F48" s="1">
        <v>0</v>
      </c>
      <c r="G48" s="1">
        <v>0.75</v>
      </c>
      <c r="H48" s="1">
        <v>0</v>
      </c>
      <c r="I48" s="1">
        <v>0.75</v>
      </c>
      <c r="J48" s="1">
        <v>0.25</v>
      </c>
      <c r="K48" s="1">
        <v>0.5</v>
      </c>
      <c r="M48">
        <f t="shared" si="5"/>
        <v>-1.6954746144929127</v>
      </c>
      <c r="N48" s="6">
        <f t="shared" si="4"/>
        <v>0.61284722222222221</v>
      </c>
      <c r="O48" s="5">
        <f t="shared" si="4"/>
        <v>0.17714639880470925</v>
      </c>
    </row>
    <row r="49" spans="1:15" x14ac:dyDescent="0.25">
      <c r="A49" s="4">
        <v>215</v>
      </c>
      <c r="B49" s="4">
        <v>3</v>
      </c>
      <c r="C49" s="2">
        <v>0.40625</v>
      </c>
      <c r="D49" s="2">
        <v>0.5</v>
      </c>
      <c r="E49" s="1">
        <v>0</v>
      </c>
      <c r="F49" s="1">
        <v>0.25</v>
      </c>
      <c r="G49" s="1">
        <v>1</v>
      </c>
      <c r="H49" s="1">
        <v>0.5</v>
      </c>
      <c r="I49" s="1">
        <v>0.75</v>
      </c>
      <c r="J49" s="1">
        <v>0</v>
      </c>
      <c r="K49" s="1">
        <v>0.25</v>
      </c>
      <c r="M49">
        <f t="shared" si="5"/>
        <v>-1.1662513244199804</v>
      </c>
      <c r="N49" s="6">
        <f t="shared" si="4"/>
        <v>0.61284722222222221</v>
      </c>
      <c r="O49" s="5">
        <f t="shared" si="4"/>
        <v>0.17714639880470925</v>
      </c>
    </row>
    <row r="50" spans="1:15" x14ac:dyDescent="0.25">
      <c r="A50" s="4">
        <v>217</v>
      </c>
      <c r="B50" s="4">
        <v>3</v>
      </c>
      <c r="C50" s="2">
        <v>0.78125</v>
      </c>
      <c r="D50" s="2">
        <v>1</v>
      </c>
      <c r="E50" s="1">
        <v>0.75</v>
      </c>
      <c r="F50" s="1">
        <v>1</v>
      </c>
      <c r="G50" s="1">
        <v>0.5</v>
      </c>
      <c r="H50" s="1">
        <v>1</v>
      </c>
      <c r="I50" s="1">
        <v>0.5</v>
      </c>
      <c r="J50" s="1">
        <v>1</v>
      </c>
      <c r="K50" s="1">
        <v>0.5</v>
      </c>
      <c r="M50">
        <f t="shared" si="5"/>
        <v>0.95064183587174889</v>
      </c>
      <c r="N50" s="6">
        <f t="shared" si="4"/>
        <v>0.61284722222222221</v>
      </c>
      <c r="O50" s="5">
        <f t="shared" si="4"/>
        <v>0.17714639880470925</v>
      </c>
    </row>
    <row r="51" spans="1:15" x14ac:dyDescent="0.25">
      <c r="A51" s="4">
        <v>218</v>
      </c>
      <c r="B51" s="4">
        <v>3</v>
      </c>
      <c r="C51" s="2">
        <v>0.78125</v>
      </c>
      <c r="D51" s="2">
        <v>1</v>
      </c>
      <c r="E51" s="1">
        <v>0.5</v>
      </c>
      <c r="F51" s="1">
        <v>1</v>
      </c>
      <c r="G51" s="1">
        <v>1</v>
      </c>
      <c r="H51" s="1">
        <v>1</v>
      </c>
      <c r="I51" s="1">
        <v>0.5</v>
      </c>
      <c r="J51" s="1">
        <v>1</v>
      </c>
      <c r="K51" s="1">
        <v>0.25</v>
      </c>
      <c r="M51">
        <f t="shared" si="5"/>
        <v>0.95064183587174889</v>
      </c>
      <c r="N51" s="6">
        <f t="shared" si="4"/>
        <v>0.61284722222222221</v>
      </c>
      <c r="O51" s="5">
        <f t="shared" si="4"/>
        <v>0.17714639880470925</v>
      </c>
    </row>
    <row r="52" spans="1:15" x14ac:dyDescent="0.25">
      <c r="A52" s="4">
        <v>222</v>
      </c>
      <c r="B52" s="4">
        <v>3</v>
      </c>
      <c r="C52" s="2">
        <v>0.625</v>
      </c>
      <c r="D52" s="2">
        <v>1</v>
      </c>
      <c r="E52" s="1">
        <v>0.75</v>
      </c>
      <c r="F52" s="1">
        <v>0.5</v>
      </c>
      <c r="G52" s="1">
        <v>0.25</v>
      </c>
      <c r="H52" s="1">
        <v>1</v>
      </c>
      <c r="I52" s="1">
        <v>0.5</v>
      </c>
      <c r="J52" s="1">
        <v>1</v>
      </c>
      <c r="K52" s="1">
        <v>0</v>
      </c>
      <c r="M52">
        <f t="shared" si="5"/>
        <v>6.8603019083528338E-2</v>
      </c>
      <c r="N52" s="6">
        <f t="shared" ref="N52:O57" si="6">N51</f>
        <v>0.61284722222222221</v>
      </c>
      <c r="O52" s="5">
        <f t="shared" si="6"/>
        <v>0.17714639880470925</v>
      </c>
    </row>
    <row r="53" spans="1:15" x14ac:dyDescent="0.25">
      <c r="A53" s="4">
        <v>223</v>
      </c>
      <c r="B53" s="4">
        <v>3</v>
      </c>
      <c r="C53" s="2">
        <v>0.71875</v>
      </c>
      <c r="D53" s="2">
        <v>1</v>
      </c>
      <c r="E53" s="1">
        <v>0.5</v>
      </c>
      <c r="F53" s="1">
        <v>0.75</v>
      </c>
      <c r="G53" s="1">
        <v>0.5</v>
      </c>
      <c r="H53" s="1">
        <v>1</v>
      </c>
      <c r="I53" s="1">
        <v>0.5</v>
      </c>
      <c r="J53" s="1">
        <v>0.75</v>
      </c>
      <c r="K53" s="1">
        <v>0.75</v>
      </c>
      <c r="M53">
        <f t="shared" si="5"/>
        <v>0.59782630915646062</v>
      </c>
      <c r="N53" s="6">
        <f t="shared" si="6"/>
        <v>0.61284722222222221</v>
      </c>
      <c r="O53" s="5">
        <f t="shared" si="6"/>
        <v>0.17714639880470925</v>
      </c>
    </row>
    <row r="54" spans="1:15" x14ac:dyDescent="0.25">
      <c r="A54" s="4">
        <v>227</v>
      </c>
      <c r="B54" s="4">
        <v>3</v>
      </c>
      <c r="C54" s="2">
        <v>0.65625</v>
      </c>
      <c r="D54" s="2">
        <v>1</v>
      </c>
      <c r="E54" s="1">
        <v>0.75</v>
      </c>
      <c r="F54" s="1">
        <v>1</v>
      </c>
      <c r="G54" s="1">
        <v>0.5</v>
      </c>
      <c r="H54" s="1">
        <v>0.75</v>
      </c>
      <c r="I54" s="1">
        <v>0.25</v>
      </c>
      <c r="J54" s="1">
        <v>0.5</v>
      </c>
      <c r="K54" s="1">
        <v>0.5</v>
      </c>
      <c r="M54">
        <f t="shared" si="5"/>
        <v>0.24501078244117244</v>
      </c>
      <c r="N54" s="6">
        <f t="shared" si="6"/>
        <v>0.61284722222222221</v>
      </c>
      <c r="O54" s="5">
        <f t="shared" si="6"/>
        <v>0.17714639880470925</v>
      </c>
    </row>
    <row r="55" spans="1:15" x14ac:dyDescent="0.25">
      <c r="A55" s="4">
        <v>232</v>
      </c>
      <c r="B55" s="4">
        <v>3</v>
      </c>
      <c r="C55" s="2">
        <v>0.78125</v>
      </c>
      <c r="D55" s="2">
        <v>0.5</v>
      </c>
      <c r="E55" s="1">
        <v>0.75</v>
      </c>
      <c r="F55" s="1">
        <v>1</v>
      </c>
      <c r="G55" s="1">
        <v>1</v>
      </c>
      <c r="H55" s="1">
        <v>1</v>
      </c>
      <c r="I55" s="1">
        <v>0.5</v>
      </c>
      <c r="J55" s="1">
        <v>1</v>
      </c>
      <c r="K55" s="1">
        <v>0.5</v>
      </c>
      <c r="M55">
        <f t="shared" si="5"/>
        <v>0.95064183587174889</v>
      </c>
      <c r="N55" s="6">
        <f t="shared" si="6"/>
        <v>0.61284722222222221</v>
      </c>
      <c r="O55" s="5">
        <f t="shared" si="6"/>
        <v>0.17714639880470925</v>
      </c>
    </row>
    <row r="56" spans="1:15" x14ac:dyDescent="0.25">
      <c r="A56" s="4">
        <v>253</v>
      </c>
      <c r="B56" s="4">
        <v>3</v>
      </c>
      <c r="C56" s="2">
        <v>0.78125</v>
      </c>
      <c r="D56" s="2">
        <v>1</v>
      </c>
      <c r="E56" s="1">
        <v>0.75</v>
      </c>
      <c r="F56" s="1">
        <v>1</v>
      </c>
      <c r="G56" s="1">
        <v>0.75</v>
      </c>
      <c r="H56" s="1">
        <v>1</v>
      </c>
      <c r="I56" s="1">
        <v>0.25</v>
      </c>
      <c r="J56" s="1">
        <v>1</v>
      </c>
      <c r="K56" s="1">
        <v>0.5</v>
      </c>
      <c r="M56">
        <f t="shared" si="5"/>
        <v>0.95064183587174889</v>
      </c>
      <c r="N56" s="6">
        <f t="shared" si="6"/>
        <v>0.61284722222222221</v>
      </c>
      <c r="O56" s="5">
        <f t="shared" si="6"/>
        <v>0.17714639880470925</v>
      </c>
    </row>
    <row r="57" spans="1:15" x14ac:dyDescent="0.25">
      <c r="A57" s="4">
        <v>256</v>
      </c>
      <c r="B57" s="4">
        <v>3</v>
      </c>
      <c r="C57" s="2">
        <v>0.65625</v>
      </c>
      <c r="D57" s="2">
        <v>1</v>
      </c>
      <c r="E57" s="1">
        <v>0.75</v>
      </c>
      <c r="F57" s="1">
        <v>1</v>
      </c>
      <c r="G57" s="1">
        <v>0.5</v>
      </c>
      <c r="H57" s="1">
        <v>1</v>
      </c>
      <c r="I57" s="1">
        <v>0.25</v>
      </c>
      <c r="J57" s="1">
        <v>0.75</v>
      </c>
      <c r="K57" s="1">
        <v>0</v>
      </c>
      <c r="M57">
        <f t="shared" si="5"/>
        <v>0.24501078244117244</v>
      </c>
      <c r="N57" s="6">
        <f t="shared" si="6"/>
        <v>0.61284722222222221</v>
      </c>
      <c r="O57" s="5">
        <f t="shared" si="6"/>
        <v>0.17714639880470925</v>
      </c>
    </row>
  </sheetData>
  <conditionalFormatting sqref="M2:M57">
    <cfRule type="cellIs" dxfId="1" priority="1" operator="lessThanOrEqual">
      <formula>-2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T1</vt:lpstr>
      <vt:lpstr>T2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honore</dc:creator>
  <cp:lastModifiedBy>SIWS</cp:lastModifiedBy>
  <dcterms:created xsi:type="dcterms:W3CDTF">2013-04-18T05:43:50Z</dcterms:created>
  <dcterms:modified xsi:type="dcterms:W3CDTF">2016-09-28T08:43:45Z</dcterms:modified>
</cp:coreProperties>
</file>